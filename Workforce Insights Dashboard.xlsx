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cd7a3f71c91af50c/Desktop/Job Switch/Excel_dashboards/Prashanth Reddy/"/>
    </mc:Choice>
  </mc:AlternateContent>
  <xr:revisionPtr revIDLastSave="2" documentId="8_{257835BA-6DDE-4FD5-9100-8D4572680A28}" xr6:coauthVersionLast="47" xr6:coauthVersionMax="47" xr10:uidLastSave="{1C8598D7-E023-400C-8DFE-4303DB1A77E6}"/>
  <bookViews>
    <workbookView xWindow="-108" yWindow="-108" windowWidth="23256" windowHeight="12456" xr2:uid="{8E678DAB-B08C-4721-8AE3-D6A89D05EA90}"/>
  </bookViews>
  <sheets>
    <sheet name="Dashboard" sheetId="4" r:id="rId1"/>
    <sheet name="Pivot Tables" sheetId="2" r:id="rId2"/>
    <sheet name="Raw Data" sheetId="1" r:id="rId3"/>
  </sheets>
  <definedNames>
    <definedName name="Slicer_Age_Group">#N/A</definedName>
    <definedName name="Slicer_Department1">#N/A</definedName>
    <definedName name="Slicer_Employment_Status1">#N/A</definedName>
    <definedName name="Slicer_Gender1">#N/A</definedName>
    <definedName name="Slicer_Status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167" i="1" l="1"/>
  <c r="S167" i="1"/>
  <c r="T166" i="1"/>
  <c r="S166" i="1"/>
  <c r="T165" i="1"/>
  <c r="S165" i="1"/>
  <c r="T164" i="1"/>
  <c r="S164" i="1"/>
  <c r="T163" i="1"/>
  <c r="S163" i="1"/>
  <c r="T162" i="1"/>
  <c r="S162" i="1"/>
  <c r="T161" i="1"/>
  <c r="S161" i="1"/>
  <c r="T160" i="1"/>
  <c r="S160" i="1"/>
  <c r="T159" i="1"/>
  <c r="S159" i="1"/>
  <c r="T158" i="1"/>
  <c r="S158" i="1"/>
  <c r="T157" i="1"/>
  <c r="S157" i="1"/>
  <c r="T156" i="1"/>
  <c r="S156" i="1"/>
  <c r="T155" i="1"/>
  <c r="S155" i="1"/>
  <c r="T154" i="1"/>
  <c r="S154" i="1"/>
  <c r="T153" i="1"/>
  <c r="S153" i="1"/>
  <c r="T152" i="1"/>
  <c r="S152" i="1"/>
  <c r="T151" i="1"/>
  <c r="S151" i="1"/>
  <c r="T150" i="1"/>
  <c r="S150" i="1"/>
  <c r="T149" i="1"/>
  <c r="S149" i="1"/>
  <c r="T148" i="1"/>
  <c r="S148" i="1"/>
  <c r="T147" i="1"/>
  <c r="S147" i="1"/>
  <c r="T146" i="1"/>
  <c r="S146" i="1"/>
  <c r="T145" i="1"/>
  <c r="S145" i="1"/>
  <c r="T144" i="1"/>
  <c r="S144" i="1"/>
  <c r="T143" i="1"/>
  <c r="S143" i="1"/>
  <c r="T142" i="1"/>
  <c r="S142" i="1"/>
  <c r="T141" i="1"/>
  <c r="S141" i="1"/>
  <c r="T140" i="1"/>
  <c r="S140" i="1"/>
  <c r="T139" i="1"/>
  <c r="S139" i="1"/>
  <c r="T138" i="1"/>
  <c r="S138" i="1"/>
  <c r="T137" i="1"/>
  <c r="S137" i="1"/>
  <c r="T136" i="1"/>
  <c r="S136" i="1"/>
  <c r="T135" i="1"/>
  <c r="S135" i="1"/>
  <c r="T134" i="1"/>
  <c r="S134" i="1"/>
  <c r="T133" i="1"/>
  <c r="S133" i="1"/>
  <c r="T132" i="1"/>
  <c r="S132" i="1"/>
  <c r="T131" i="1"/>
  <c r="S131" i="1"/>
  <c r="T130" i="1"/>
  <c r="S130" i="1"/>
  <c r="T129" i="1"/>
  <c r="S129" i="1"/>
  <c r="T128" i="1"/>
  <c r="S128" i="1"/>
  <c r="T127" i="1"/>
  <c r="S127" i="1"/>
  <c r="T126" i="1"/>
  <c r="S126" i="1"/>
  <c r="T125" i="1"/>
  <c r="S125" i="1"/>
  <c r="T124" i="1"/>
  <c r="S124" i="1"/>
  <c r="T123" i="1"/>
  <c r="S123" i="1"/>
  <c r="T122" i="1"/>
  <c r="S122" i="1"/>
  <c r="T121" i="1"/>
  <c r="S121" i="1"/>
  <c r="T120" i="1"/>
  <c r="S120" i="1"/>
  <c r="T119" i="1"/>
  <c r="S119" i="1"/>
  <c r="T118" i="1"/>
  <c r="S118" i="1"/>
  <c r="T117" i="1"/>
  <c r="S117" i="1"/>
  <c r="T116" i="1"/>
  <c r="S116" i="1"/>
  <c r="T115" i="1"/>
  <c r="S115" i="1"/>
  <c r="T114" i="1"/>
  <c r="S114" i="1"/>
  <c r="T113" i="1"/>
  <c r="S113" i="1"/>
  <c r="T112" i="1"/>
  <c r="S112" i="1"/>
  <c r="T111" i="1"/>
  <c r="S111" i="1"/>
  <c r="T110" i="1"/>
  <c r="S110" i="1"/>
  <c r="T109" i="1"/>
  <c r="S109" i="1"/>
  <c r="T108" i="1"/>
  <c r="S108" i="1"/>
  <c r="T107" i="1"/>
  <c r="S107" i="1"/>
  <c r="T106" i="1"/>
  <c r="S106" i="1"/>
  <c r="T105" i="1"/>
  <c r="S105" i="1"/>
  <c r="T104" i="1"/>
  <c r="S104" i="1"/>
  <c r="T103" i="1"/>
  <c r="S103" i="1"/>
  <c r="T102" i="1"/>
  <c r="S102" i="1"/>
  <c r="T101" i="1"/>
  <c r="S101" i="1"/>
  <c r="T100" i="1"/>
  <c r="S100" i="1"/>
  <c r="T99" i="1"/>
  <c r="S99" i="1"/>
  <c r="T98" i="1"/>
  <c r="S98" i="1"/>
  <c r="T97" i="1"/>
  <c r="S97" i="1"/>
  <c r="T96" i="1"/>
  <c r="S96" i="1"/>
  <c r="T95" i="1"/>
  <c r="S95" i="1"/>
  <c r="T94" i="1"/>
  <c r="S94" i="1"/>
  <c r="T93" i="1"/>
  <c r="S93" i="1"/>
  <c r="T92" i="1"/>
  <c r="S92" i="1"/>
  <c r="T91" i="1"/>
  <c r="S91" i="1"/>
  <c r="T90" i="1"/>
  <c r="S90" i="1"/>
  <c r="T89" i="1"/>
  <c r="S89" i="1"/>
  <c r="T88" i="1"/>
  <c r="S88" i="1"/>
  <c r="T87" i="1"/>
  <c r="S87" i="1"/>
  <c r="T86" i="1"/>
  <c r="S86" i="1"/>
  <c r="T85" i="1"/>
  <c r="S85" i="1"/>
  <c r="T84" i="1"/>
  <c r="S84" i="1"/>
  <c r="T83" i="1"/>
  <c r="S83" i="1"/>
  <c r="T82" i="1"/>
  <c r="S82" i="1"/>
  <c r="T81" i="1"/>
  <c r="S81" i="1"/>
  <c r="T80" i="1"/>
  <c r="S80" i="1"/>
  <c r="T79" i="1"/>
  <c r="S79" i="1"/>
  <c r="T78" i="1"/>
  <c r="S78" i="1"/>
  <c r="T77" i="1"/>
  <c r="S77" i="1"/>
  <c r="T76" i="1"/>
  <c r="S76" i="1"/>
  <c r="T75" i="1"/>
  <c r="S75" i="1"/>
  <c r="T74" i="1"/>
  <c r="S74" i="1"/>
  <c r="T73" i="1"/>
  <c r="S73" i="1"/>
  <c r="T72" i="1"/>
  <c r="S72" i="1"/>
  <c r="T71" i="1"/>
  <c r="S71" i="1"/>
  <c r="T70" i="1"/>
  <c r="S70" i="1"/>
  <c r="T69" i="1"/>
  <c r="S69" i="1"/>
  <c r="T68" i="1"/>
  <c r="S68" i="1"/>
  <c r="T67" i="1"/>
  <c r="S67" i="1"/>
  <c r="T66" i="1"/>
  <c r="S66" i="1"/>
  <c r="T65" i="1"/>
  <c r="S65" i="1"/>
  <c r="T64" i="1"/>
  <c r="S64" i="1"/>
  <c r="T63" i="1"/>
  <c r="S63" i="1"/>
  <c r="T62" i="1"/>
  <c r="S62" i="1"/>
  <c r="T61" i="1"/>
  <c r="S61" i="1"/>
  <c r="T60" i="1"/>
  <c r="S60" i="1"/>
  <c r="T59" i="1"/>
  <c r="S59" i="1"/>
  <c r="T58" i="1"/>
  <c r="S58" i="1"/>
  <c r="T57" i="1"/>
  <c r="S57" i="1"/>
  <c r="T56" i="1"/>
  <c r="S56" i="1"/>
  <c r="T55" i="1"/>
  <c r="S55" i="1"/>
  <c r="T54" i="1"/>
  <c r="S54" i="1"/>
  <c r="T53" i="1"/>
  <c r="S53" i="1"/>
  <c r="T52" i="1"/>
  <c r="S52" i="1"/>
  <c r="T51" i="1"/>
  <c r="S51" i="1"/>
  <c r="T50" i="1"/>
  <c r="S50" i="1"/>
  <c r="T49" i="1"/>
  <c r="S49" i="1"/>
  <c r="T48" i="1"/>
  <c r="S48" i="1"/>
  <c r="T47" i="1"/>
  <c r="S47" i="1"/>
  <c r="T46" i="1"/>
  <c r="S46" i="1"/>
  <c r="T45" i="1"/>
  <c r="S45" i="1"/>
  <c r="T44" i="1"/>
  <c r="S44" i="1"/>
  <c r="T43" i="1"/>
  <c r="S43" i="1"/>
  <c r="T42" i="1"/>
  <c r="S42" i="1"/>
  <c r="T41" i="1"/>
  <c r="S41" i="1"/>
  <c r="T40" i="1"/>
  <c r="S40" i="1"/>
  <c r="T39" i="1"/>
  <c r="S39" i="1"/>
  <c r="T38" i="1"/>
  <c r="S38" i="1"/>
  <c r="T37" i="1"/>
  <c r="S37" i="1"/>
  <c r="T36" i="1"/>
  <c r="S36" i="1"/>
  <c r="T35" i="1"/>
  <c r="S35" i="1"/>
  <c r="T34" i="1"/>
  <c r="S34" i="1"/>
  <c r="T33" i="1"/>
  <c r="S33" i="1"/>
  <c r="T32" i="1"/>
  <c r="S32" i="1"/>
  <c r="T31" i="1"/>
  <c r="S31" i="1"/>
  <c r="T30" i="1"/>
  <c r="S30" i="1"/>
  <c r="T29" i="1"/>
  <c r="S29" i="1"/>
  <c r="T28" i="1"/>
  <c r="S28" i="1"/>
  <c r="T27" i="1"/>
  <c r="S27" i="1"/>
  <c r="T26" i="1"/>
  <c r="S26" i="1"/>
  <c r="T25" i="1"/>
  <c r="S25" i="1"/>
  <c r="T24" i="1"/>
  <c r="S24" i="1"/>
  <c r="T23" i="1"/>
  <c r="S23" i="1"/>
  <c r="T22" i="1"/>
  <c r="S22" i="1"/>
  <c r="T21" i="1"/>
  <c r="S21" i="1"/>
  <c r="T20" i="1"/>
  <c r="S20" i="1"/>
  <c r="T19" i="1"/>
  <c r="S19" i="1"/>
  <c r="T18" i="1"/>
  <c r="S18" i="1"/>
  <c r="T17" i="1"/>
  <c r="S17" i="1"/>
  <c r="T16" i="1"/>
  <c r="S16" i="1"/>
  <c r="T15" i="1"/>
  <c r="S15" i="1"/>
  <c r="T14" i="1"/>
  <c r="S14" i="1"/>
  <c r="T13" i="1"/>
  <c r="S13" i="1"/>
  <c r="T12" i="1"/>
  <c r="S12" i="1"/>
  <c r="T11" i="1"/>
  <c r="S11" i="1"/>
  <c r="T10" i="1"/>
  <c r="S10" i="1"/>
  <c r="T9" i="1"/>
  <c r="S9" i="1"/>
  <c r="T8" i="1"/>
  <c r="S8" i="1"/>
  <c r="T7" i="1"/>
  <c r="S7" i="1"/>
  <c r="T6" i="1"/>
  <c r="S6" i="1"/>
  <c r="T5" i="1"/>
  <c r="S5" i="1"/>
  <c r="T4" i="1"/>
  <c r="S4" i="1"/>
  <c r="T3" i="1"/>
  <c r="S3" i="1"/>
  <c r="T2" i="1"/>
  <c r="S2" i="1"/>
  <c r="B3" i="2"/>
  <c r="H3" i="2"/>
  <c r="E3" i="2"/>
  <c r="A5" i="2" l="1"/>
  <c r="G5" i="2"/>
  <c r="D5" i="2"/>
</calcChain>
</file>

<file path=xl/sharedStrings.xml><?xml version="1.0" encoding="utf-8"?>
<sst xmlns="http://schemas.openxmlformats.org/spreadsheetml/2006/main" count="2921" uniqueCount="431">
  <si>
    <t>EmpCode</t>
  </si>
  <si>
    <t>RO Emp Code</t>
  </si>
  <si>
    <t>Gender</t>
  </si>
  <si>
    <t>JoiningDate</t>
  </si>
  <si>
    <t>Nationality</t>
  </si>
  <si>
    <t>BirthDate</t>
  </si>
  <si>
    <t>Marital Status</t>
  </si>
  <si>
    <t>Grade</t>
  </si>
  <si>
    <t>Status</t>
  </si>
  <si>
    <t>Employment Status</t>
  </si>
  <si>
    <t>LastWorking Date</t>
  </si>
  <si>
    <t>Department</t>
  </si>
  <si>
    <t>Employee</t>
  </si>
  <si>
    <t>Reporting Officer</t>
  </si>
  <si>
    <t>Grade Name</t>
  </si>
  <si>
    <t>Level Name</t>
  </si>
  <si>
    <t>Age Group</t>
  </si>
  <si>
    <t>Service</t>
  </si>
  <si>
    <t>Year of Joining</t>
  </si>
  <si>
    <t>Month of Joining</t>
  </si>
  <si>
    <t>8</t>
  </si>
  <si>
    <t>1</t>
  </si>
  <si>
    <t>Male</t>
  </si>
  <si>
    <t>India</t>
  </si>
  <si>
    <t>Married</t>
  </si>
  <si>
    <t>GCOT11</t>
  </si>
  <si>
    <t>Active</t>
  </si>
  <si>
    <t>Confirmed</t>
  </si>
  <si>
    <t/>
  </si>
  <si>
    <t>Accounts</t>
  </si>
  <si>
    <t>Rufus Winters</t>
  </si>
  <si>
    <t>Chief Manager</t>
  </si>
  <si>
    <t>Management</t>
  </si>
  <si>
    <t>Above 50</t>
  </si>
  <si>
    <t>Above 10</t>
  </si>
  <si>
    <t>761</t>
  </si>
  <si>
    <t>100164</t>
  </si>
  <si>
    <t>GCOT09</t>
  </si>
  <si>
    <t>Sales</t>
  </si>
  <si>
    <t>Woodrow Eaton</t>
  </si>
  <si>
    <t>Eduardo Hill</t>
  </si>
  <si>
    <t>Sr. Manager</t>
  </si>
  <si>
    <t>1-3</t>
  </si>
  <si>
    <t>446</t>
  </si>
  <si>
    <t>185</t>
  </si>
  <si>
    <t>GCOT06</t>
  </si>
  <si>
    <t>Leland Abbott</t>
  </si>
  <si>
    <t>Loretta Nicholson</t>
  </si>
  <si>
    <t>Sr. Supervisor</t>
  </si>
  <si>
    <t>Non Management</t>
  </si>
  <si>
    <t>36-40</t>
  </si>
  <si>
    <t>781</t>
  </si>
  <si>
    <t>186</t>
  </si>
  <si>
    <t>GCOT02</t>
  </si>
  <si>
    <t>Operations</t>
  </si>
  <si>
    <t>Levi Kline</t>
  </si>
  <si>
    <t>Efrain Underwood</t>
  </si>
  <si>
    <t>Workers</t>
  </si>
  <si>
    <t>41-45</t>
  </si>
  <si>
    <t>782</t>
  </si>
  <si>
    <t>Marcos Jacobson</t>
  </si>
  <si>
    <t>31-35</t>
  </si>
  <si>
    <t>765</t>
  </si>
  <si>
    <t>Al Beasley</t>
  </si>
  <si>
    <t>770</t>
  </si>
  <si>
    <t>GCOT04</t>
  </si>
  <si>
    <t>Gustavo Zamora</t>
  </si>
  <si>
    <t>Sr. Executive</t>
  </si>
  <si>
    <t>26-30</t>
  </si>
  <si>
    <t>771</t>
  </si>
  <si>
    <t>Jake Macdonald</t>
  </si>
  <si>
    <t>772</t>
  </si>
  <si>
    <t>Lionel Vance</t>
  </si>
  <si>
    <t>774</t>
  </si>
  <si>
    <t>Marty Snow</t>
  </si>
  <si>
    <t>603</t>
  </si>
  <si>
    <t>Darrel Hensley</t>
  </si>
  <si>
    <t>5-10</t>
  </si>
  <si>
    <t>110</t>
  </si>
  <si>
    <t>344</t>
  </si>
  <si>
    <t>IT</t>
  </si>
  <si>
    <t>Isaac Montoya</t>
  </si>
  <si>
    <t>Logan Randall</t>
  </si>
  <si>
    <t>3-5</t>
  </si>
  <si>
    <t>138</t>
  </si>
  <si>
    <t>Cleveland Cardenas</t>
  </si>
  <si>
    <t>704</t>
  </si>
  <si>
    <t>GCOT03</t>
  </si>
  <si>
    <t>Sheldon Golden</t>
  </si>
  <si>
    <t>Executive</t>
  </si>
  <si>
    <t>710</t>
  </si>
  <si>
    <t>Erick Walter</t>
  </si>
  <si>
    <t>152</t>
  </si>
  <si>
    <t>GCOT07</t>
  </si>
  <si>
    <t>Lamont Wilkins</t>
  </si>
  <si>
    <t>Asst.Manager</t>
  </si>
  <si>
    <t>46-50</t>
  </si>
  <si>
    <t>719</t>
  </si>
  <si>
    <t>Doyle Rich</t>
  </si>
  <si>
    <t>176</t>
  </si>
  <si>
    <t>Dexter Hoover</t>
  </si>
  <si>
    <t>725</t>
  </si>
  <si>
    <t>Stewart Suarez</t>
  </si>
  <si>
    <t>GCOT08</t>
  </si>
  <si>
    <t>Manager</t>
  </si>
  <si>
    <t>2</t>
  </si>
  <si>
    <t>Billie Short</t>
  </si>
  <si>
    <t>454</t>
  </si>
  <si>
    <t>Elias Sweeney</t>
  </si>
  <si>
    <t>345</t>
  </si>
  <si>
    <t>Elbert Skinner</t>
  </si>
  <si>
    <t>294</t>
  </si>
  <si>
    <t>Noah Rivas</t>
  </si>
  <si>
    <t>207</t>
  </si>
  <si>
    <t>Clay Wilcox</t>
  </si>
  <si>
    <t>231</t>
  </si>
  <si>
    <t>Garland Carey</t>
  </si>
  <si>
    <t>233</t>
  </si>
  <si>
    <t>Miles Clayton</t>
  </si>
  <si>
    <t>262</t>
  </si>
  <si>
    <t>Micah Poole</t>
  </si>
  <si>
    <t>265</t>
  </si>
  <si>
    <t>Lamar Gallegos</t>
  </si>
  <si>
    <t>277</t>
  </si>
  <si>
    <t>Rolando Greer</t>
  </si>
  <si>
    <t>303</t>
  </si>
  <si>
    <t>GCOT01</t>
  </si>
  <si>
    <t>Louie Franco</t>
  </si>
  <si>
    <t>328</t>
  </si>
  <si>
    <t>Merle Pittman</t>
  </si>
  <si>
    <t>363</t>
  </si>
  <si>
    <t>Bradford Wilkinson</t>
  </si>
  <si>
    <t>395</t>
  </si>
  <si>
    <t>Vicente Kirby</t>
  </si>
  <si>
    <t>448</t>
  </si>
  <si>
    <t>Grady Charles</t>
  </si>
  <si>
    <t>449</t>
  </si>
  <si>
    <t>727</t>
  </si>
  <si>
    <t>Otto Allison</t>
  </si>
  <si>
    <t>Rodger Hobbs</t>
  </si>
  <si>
    <t>471</t>
  </si>
  <si>
    <t>Carroll Atkinson</t>
  </si>
  <si>
    <t>472</t>
  </si>
  <si>
    <t>Terrell Horn</t>
  </si>
  <si>
    <t>480</t>
  </si>
  <si>
    <t>Moses Jefferson</t>
  </si>
  <si>
    <t>486</t>
  </si>
  <si>
    <t>Irvin Rosales</t>
  </si>
  <si>
    <t>488</t>
  </si>
  <si>
    <t>Stephan York</t>
  </si>
  <si>
    <t>533</t>
  </si>
  <si>
    <t>807</t>
  </si>
  <si>
    <t>Contracting</t>
  </si>
  <si>
    <t>Rocky Bond</t>
  </si>
  <si>
    <t>Kirk Conway</t>
  </si>
  <si>
    <t>699</t>
  </si>
  <si>
    <t>Cornelius Russo</t>
  </si>
  <si>
    <t>550</t>
  </si>
  <si>
    <t>614</t>
  </si>
  <si>
    <t>GCOT05</t>
  </si>
  <si>
    <t>Dewayne Gates</t>
  </si>
  <si>
    <t>Laurie Roy</t>
  </si>
  <si>
    <t>Supervisor</t>
  </si>
  <si>
    <t>604</t>
  </si>
  <si>
    <t>Phil Atkins</t>
  </si>
  <si>
    <t>568</t>
  </si>
  <si>
    <t>Abel Mathews</t>
  </si>
  <si>
    <t>810</t>
  </si>
  <si>
    <t>Julian Bullock</t>
  </si>
  <si>
    <t>&lt;1</t>
  </si>
  <si>
    <t>58</t>
  </si>
  <si>
    <t>Virgil Hodge</t>
  </si>
  <si>
    <t>621</t>
  </si>
  <si>
    <t>Winston Shields</t>
  </si>
  <si>
    <t>653</t>
  </si>
  <si>
    <t>Aubrey Camacho</t>
  </si>
  <si>
    <t>66</t>
  </si>
  <si>
    <t>Boyd Parrish</t>
  </si>
  <si>
    <t>674</t>
  </si>
  <si>
    <t>Freddy Berg</t>
  </si>
  <si>
    <t>678</t>
  </si>
  <si>
    <t>Andy Savage</t>
  </si>
  <si>
    <t>763</t>
  </si>
  <si>
    <t>Ross Clay</t>
  </si>
  <si>
    <t>692</t>
  </si>
  <si>
    <t>Emilio Salas</t>
  </si>
  <si>
    <t>749</t>
  </si>
  <si>
    <t>Tommie Henson</t>
  </si>
  <si>
    <t>696</t>
  </si>
  <si>
    <t>Elijah Marks</t>
  </si>
  <si>
    <t>753</t>
  </si>
  <si>
    <t>Darrin Dyer</t>
  </si>
  <si>
    <t>702</t>
  </si>
  <si>
    <t>Humberto Baxter</t>
  </si>
  <si>
    <t>720</t>
  </si>
  <si>
    <t>Roman Humphrey</t>
  </si>
  <si>
    <t>736</t>
  </si>
  <si>
    <t>Clark Khan</t>
  </si>
  <si>
    <t>758</t>
  </si>
  <si>
    <t>Darnell Tanner</t>
  </si>
  <si>
    <t>788</t>
  </si>
  <si>
    <t>801</t>
  </si>
  <si>
    <t>Ethan Prince</t>
  </si>
  <si>
    <t>Heath Orr</t>
  </si>
  <si>
    <t>809</t>
  </si>
  <si>
    <t>Byron Whitehead</t>
  </si>
  <si>
    <t>Female</t>
  </si>
  <si>
    <t>586</t>
  </si>
  <si>
    <t>Victoria Trevino</t>
  </si>
  <si>
    <t>731</t>
  </si>
  <si>
    <t>Katie Ibarra</t>
  </si>
  <si>
    <t>746</t>
  </si>
  <si>
    <t>Josephine Ware</t>
  </si>
  <si>
    <t>764</t>
  </si>
  <si>
    <t>Thelma Barron</t>
  </si>
  <si>
    <t>767</t>
  </si>
  <si>
    <t>Single</t>
  </si>
  <si>
    <t>Wilfred Small</t>
  </si>
  <si>
    <t>776</t>
  </si>
  <si>
    <t>Taylor Stafford</t>
  </si>
  <si>
    <t>141</t>
  </si>
  <si>
    <t>Morris Fuentes</t>
  </si>
  <si>
    <t>143</t>
  </si>
  <si>
    <t>Pierre Weiss</t>
  </si>
  <si>
    <t>711</t>
  </si>
  <si>
    <t>Frankie Mcdowell</t>
  </si>
  <si>
    <t>641</t>
  </si>
  <si>
    <t>Bret Cline</t>
  </si>
  <si>
    <t>700</t>
  </si>
  <si>
    <t>Harley Sawyer</t>
  </si>
  <si>
    <t>717</t>
  </si>
  <si>
    <t>Jess Wiley</t>
  </si>
  <si>
    <t>730</t>
  </si>
  <si>
    <t>Junior Gilmore</t>
  </si>
  <si>
    <t>769</t>
  </si>
  <si>
    <t>588</t>
  </si>
  <si>
    <t>Emmett Wu</t>
  </si>
  <si>
    <t>Morgan Villarreal</t>
  </si>
  <si>
    <t>766</t>
  </si>
  <si>
    <t>Reynaldo Oneal</t>
  </si>
  <si>
    <t>778</t>
  </si>
  <si>
    <t>Sri Lanka</t>
  </si>
  <si>
    <t>Holly Barry</t>
  </si>
  <si>
    <t>518</t>
  </si>
  <si>
    <t>Pakistan</t>
  </si>
  <si>
    <t>Bert Dickerson</t>
  </si>
  <si>
    <t>497</t>
  </si>
  <si>
    <t>Rogelio Phelps</t>
  </si>
  <si>
    <t>626</t>
  </si>
  <si>
    <t>Bangladesh</t>
  </si>
  <si>
    <t>Terence Grimes</t>
  </si>
  <si>
    <t>130</t>
  </si>
  <si>
    <t>Percy Roth</t>
  </si>
  <si>
    <t>660</t>
  </si>
  <si>
    <t>Santiago Oneill</t>
  </si>
  <si>
    <t>659</t>
  </si>
  <si>
    <t>Alonzo Dillon</t>
  </si>
  <si>
    <t>732</t>
  </si>
  <si>
    <t>Josh Keith</t>
  </si>
  <si>
    <t>755</t>
  </si>
  <si>
    <t>Ignacio Mcclure</t>
  </si>
  <si>
    <t>421</t>
  </si>
  <si>
    <t>Ramiro Bradford</t>
  </si>
  <si>
    <t>425</t>
  </si>
  <si>
    <t>Conrad Boone</t>
  </si>
  <si>
    <t>263</t>
  </si>
  <si>
    <t>Pat Calderon</t>
  </si>
  <si>
    <t>405</t>
  </si>
  <si>
    <t>Darin Kirk</t>
  </si>
  <si>
    <t>408</t>
  </si>
  <si>
    <t>Amos Bruce</t>
  </si>
  <si>
    <t>410</t>
  </si>
  <si>
    <t>Eldon Singleton</t>
  </si>
  <si>
    <t>413</t>
  </si>
  <si>
    <t>Dominick Mathis</t>
  </si>
  <si>
    <t>499</t>
  </si>
  <si>
    <t>Van Farrell</t>
  </si>
  <si>
    <t>534</t>
  </si>
  <si>
    <t>Saul Wyatt</t>
  </si>
  <si>
    <t>541</t>
  </si>
  <si>
    <t>Clifton Foley</t>
  </si>
  <si>
    <t>545</t>
  </si>
  <si>
    <t>Willard Chase</t>
  </si>
  <si>
    <t>&lt;=25</t>
  </si>
  <si>
    <t>565</t>
  </si>
  <si>
    <t>Serbia And Montenegro</t>
  </si>
  <si>
    <t>Will Vincent</t>
  </si>
  <si>
    <t>Syria</t>
  </si>
  <si>
    <t>598</t>
  </si>
  <si>
    <t>Japan</t>
  </si>
  <si>
    <t>Jeanette Heath</t>
  </si>
  <si>
    <t>612</t>
  </si>
  <si>
    <t>Brazil</t>
  </si>
  <si>
    <t>Shannon Huffman</t>
  </si>
  <si>
    <t>Germany</t>
  </si>
  <si>
    <t>620</t>
  </si>
  <si>
    <t>Trent Boyer</t>
  </si>
  <si>
    <t>624</t>
  </si>
  <si>
    <t>Brendan Lin</t>
  </si>
  <si>
    <t>625</t>
  </si>
  <si>
    <t>Toby Hancock</t>
  </si>
  <si>
    <t>64</t>
  </si>
  <si>
    <t>Domingo Glenn</t>
  </si>
  <si>
    <t>650</t>
  </si>
  <si>
    <t>Santos Delacruz</t>
  </si>
  <si>
    <t>661</t>
  </si>
  <si>
    <t>Cary Melton</t>
  </si>
  <si>
    <t>670</t>
  </si>
  <si>
    <t>Simon Booth</t>
  </si>
  <si>
    <t>673</t>
  </si>
  <si>
    <t>Marshall Kane</t>
  </si>
  <si>
    <t>676</t>
  </si>
  <si>
    <t>Emanuel Harrell</t>
  </si>
  <si>
    <t>685</t>
  </si>
  <si>
    <t>Courtney Wiggins</t>
  </si>
  <si>
    <t>806</t>
  </si>
  <si>
    <t>Daryl Strong</t>
  </si>
  <si>
    <t>686</t>
  </si>
  <si>
    <t>Jan Brennan</t>
  </si>
  <si>
    <t>705</t>
  </si>
  <si>
    <t>Bolivia</t>
  </si>
  <si>
    <t>Brittany Hutchinson</t>
  </si>
  <si>
    <t>706</t>
  </si>
  <si>
    <t>Demetrius Liu</t>
  </si>
  <si>
    <t>721</t>
  </si>
  <si>
    <t>Irving Johns</t>
  </si>
  <si>
    <t>723</t>
  </si>
  <si>
    <t>Edmond Koch</t>
  </si>
  <si>
    <t>728</t>
  </si>
  <si>
    <t>Yolanda Beard</t>
  </si>
  <si>
    <t>743</t>
  </si>
  <si>
    <t>Randal Andrade</t>
  </si>
  <si>
    <t>747</t>
  </si>
  <si>
    <t>Edith Stephenson</t>
  </si>
  <si>
    <t>768</t>
  </si>
  <si>
    <t>Teddy Preston</t>
  </si>
  <si>
    <t>779</t>
  </si>
  <si>
    <t>Austria</t>
  </si>
  <si>
    <t>Kim English</t>
  </si>
  <si>
    <t>780</t>
  </si>
  <si>
    <t>Sherry Shannon</t>
  </si>
  <si>
    <t>775</t>
  </si>
  <si>
    <t>Salvador Mcclain</t>
  </si>
  <si>
    <t>811</t>
  </si>
  <si>
    <t>Belgium</t>
  </si>
  <si>
    <t>Probation</t>
  </si>
  <si>
    <t>Johnnie Escobar</t>
  </si>
  <si>
    <t>812</t>
  </si>
  <si>
    <t>Sidney Knox</t>
  </si>
  <si>
    <t>813</t>
  </si>
  <si>
    <t>Grace Meadows</t>
  </si>
  <si>
    <t>784</t>
  </si>
  <si>
    <t>Kristopher Woodard</t>
  </si>
  <si>
    <t>786</t>
  </si>
  <si>
    <t>In Active</t>
  </si>
  <si>
    <t>Resigned</t>
  </si>
  <si>
    <t>Mack Kemp</t>
  </si>
  <si>
    <t>789</t>
  </si>
  <si>
    <t>Gilberto Merritt</t>
  </si>
  <si>
    <t>800</t>
  </si>
  <si>
    <t>Dallas Barrera</t>
  </si>
  <si>
    <t>799</t>
  </si>
  <si>
    <t>Dewey Valenzuela</t>
  </si>
  <si>
    <t>792</t>
  </si>
  <si>
    <t>Clint Roach</t>
  </si>
  <si>
    <t>793</t>
  </si>
  <si>
    <t>Nicolas Nolan</t>
  </si>
  <si>
    <t>794</t>
  </si>
  <si>
    <t>Laurence Lam</t>
  </si>
  <si>
    <t>795</t>
  </si>
  <si>
    <t>Ismael Yoder</t>
  </si>
  <si>
    <t>796</t>
  </si>
  <si>
    <t>Orville Mccullough</t>
  </si>
  <si>
    <t>797</t>
  </si>
  <si>
    <t>Drew Lester</t>
  </si>
  <si>
    <t>802</t>
  </si>
  <si>
    <t>Jody Leach</t>
  </si>
  <si>
    <t>803</t>
  </si>
  <si>
    <t>Ervin Berger</t>
  </si>
  <si>
    <t>816</t>
  </si>
  <si>
    <t>WALLY MULLIN</t>
  </si>
  <si>
    <t>808</t>
  </si>
  <si>
    <t>China</t>
  </si>
  <si>
    <t>Wendy Stein</t>
  </si>
  <si>
    <t>785</t>
  </si>
  <si>
    <t>Emil Huang</t>
  </si>
  <si>
    <t>790</t>
  </si>
  <si>
    <t>Emmanuel Hurst</t>
  </si>
  <si>
    <t>787</t>
  </si>
  <si>
    <t>Philippines</t>
  </si>
  <si>
    <t>Roberta Mosley</t>
  </si>
  <si>
    <t>791</t>
  </si>
  <si>
    <t>Kristen Villanueva</t>
  </si>
  <si>
    <t>805</t>
  </si>
  <si>
    <t>Algeria</t>
  </si>
  <si>
    <t>Terminated</t>
  </si>
  <si>
    <t>Sylvia Mckee</t>
  </si>
  <si>
    <t>814</t>
  </si>
  <si>
    <t>Sergio Solomon</t>
  </si>
  <si>
    <t>320</t>
  </si>
  <si>
    <t>Sammy Larsen</t>
  </si>
  <si>
    <t>777</t>
  </si>
  <si>
    <t>Ellis Orozco</t>
  </si>
  <si>
    <t>735</t>
  </si>
  <si>
    <t>Hugo Macias</t>
  </si>
  <si>
    <t>756</t>
  </si>
  <si>
    <t>Caleb Blackwell</t>
  </si>
  <si>
    <t>757</t>
  </si>
  <si>
    <t>Tomas Mercado</t>
  </si>
  <si>
    <t>301</t>
  </si>
  <si>
    <t>Divorced</t>
  </si>
  <si>
    <t>Melanie Combs</t>
  </si>
  <si>
    <t>584</t>
  </si>
  <si>
    <t>Marlon Garrison</t>
  </si>
  <si>
    <t>677</t>
  </si>
  <si>
    <t>Retired</t>
  </si>
  <si>
    <t>Jerald Pitts</t>
  </si>
  <si>
    <t>750</t>
  </si>
  <si>
    <t>Timmy Wilkerson</t>
  </si>
  <si>
    <t>798</t>
  </si>
  <si>
    <t>Tunisia</t>
  </si>
  <si>
    <t>Perry Santana</t>
  </si>
  <si>
    <t>Row Labels</t>
  </si>
  <si>
    <t>Grand Total</t>
  </si>
  <si>
    <t>Count of EmpCode</t>
  </si>
  <si>
    <t>Pivot Table 1 - Total Employees</t>
  </si>
  <si>
    <t>(Multiple Items)</t>
  </si>
  <si>
    <t>Total Employees</t>
  </si>
  <si>
    <t>In-Active Employees</t>
  </si>
  <si>
    <t>Active Employees</t>
  </si>
  <si>
    <t>Count of EmpCode2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</si>
</sst>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
  </numFmts>
  <fonts count="5" x14ac:knownFonts="1">
    <font>
      <sz val="11"/>
      <color theme="1"/>
      <name val="Calibri"/>
      <family val="2"/>
      <scheme val="minor"/>
    </font>
    <font>
      <sz val="11"/>
      <color indexed="8"/>
      <name val="Trebuchet MS"/>
      <family val="2"/>
    </font>
    <font>
      <sz val="11"/>
      <color indexed="8"/>
      <name val="Trebuchet MS"/>
      <family val="2"/>
    </font>
    <font>
      <sz val="11"/>
      <color theme="1"/>
      <name val="Trebuchet MS"/>
      <family val="2"/>
    </font>
    <font>
      <sz val="14"/>
      <color theme="1"/>
      <name val="Calibri"/>
      <family val="2"/>
      <scheme val="minor"/>
    </font>
  </fonts>
  <fills count="3">
    <fill>
      <patternFill patternType="none"/>
    </fill>
    <fill>
      <patternFill patternType="gray125"/>
    </fill>
    <fill>
      <patternFill patternType="solid">
        <fgColor theme="2"/>
        <bgColor indexed="64"/>
      </patternFill>
    </fill>
  </fills>
  <borders count="20">
    <border>
      <left/>
      <right/>
      <top/>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style="thick">
        <color auto="1"/>
      </right>
      <top style="thick">
        <color auto="1"/>
      </top>
      <bottom/>
      <diagonal/>
    </border>
    <border>
      <left style="thick">
        <color auto="1"/>
      </left>
      <right style="thick">
        <color auto="1"/>
      </right>
      <top/>
      <bottom style="thick">
        <color auto="1"/>
      </bottom>
      <diagonal/>
    </border>
    <border>
      <left style="thick">
        <color auto="1"/>
      </left>
      <right style="thick">
        <color auto="1"/>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diagonal/>
    </border>
  </borders>
  <cellStyleXfs count="1">
    <xf numFmtId="0" fontId="0" fillId="0" borderId="0"/>
  </cellStyleXfs>
  <cellXfs count="40">
    <xf numFmtId="0" fontId="0" fillId="0" borderId="0" xfId="0"/>
    <xf numFmtId="0" fontId="1" fillId="0" borderId="0" xfId="0" applyFont="1"/>
    <xf numFmtId="0" fontId="2" fillId="0" borderId="0" xfId="0" applyFont="1"/>
    <xf numFmtId="0" fontId="3" fillId="0" borderId="0" xfId="0" applyFont="1"/>
    <xf numFmtId="164" fontId="1" fillId="0" borderId="0" xfId="0" applyNumberFormat="1" applyFont="1"/>
    <xf numFmtId="15" fontId="3" fillId="0" borderId="0" xfId="0" applyNumberFormat="1" applyFont="1"/>
    <xf numFmtId="0" fontId="0" fillId="0" borderId="0" xfId="0" pivotButton="1"/>
    <xf numFmtId="0" fontId="0" fillId="0" borderId="0" xfId="0" applyAlignment="1">
      <alignment horizontal="left"/>
    </xf>
    <xf numFmtId="0" fontId="0" fillId="0" borderId="0" xfId="0" applyNumberFormat="1"/>
    <xf numFmtId="0" fontId="0" fillId="0" borderId="0"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10" fontId="0" fillId="0" borderId="0" xfId="0" applyNumberFormat="1"/>
    <xf numFmtId="0" fontId="0" fillId="0" borderId="1" xfId="0" applyBorder="1"/>
    <xf numFmtId="0" fontId="0" fillId="0" borderId="2" xfId="0" applyBorder="1"/>
    <xf numFmtId="0" fontId="0" fillId="0" borderId="0" xfId="0" applyAlignment="1">
      <alignment vertical="top" wrapText="1"/>
    </xf>
    <xf numFmtId="10" fontId="0" fillId="0" borderId="0" xfId="0" applyNumberFormat="1" applyAlignment="1">
      <alignment vertical="top" wrapText="1"/>
    </xf>
    <xf numFmtId="0" fontId="0" fillId="0" borderId="3" xfId="0" applyBorder="1"/>
    <xf numFmtId="0" fontId="0" fillId="0" borderId="9" xfId="0" applyBorder="1"/>
    <xf numFmtId="0" fontId="0" fillId="0" borderId="11" xfId="0" applyBorder="1"/>
    <xf numFmtId="0" fontId="0" fillId="0" borderId="10" xfId="0" applyBorder="1"/>
    <xf numFmtId="0" fontId="0" fillId="2" borderId="4" xfId="0" applyFill="1" applyBorder="1"/>
    <xf numFmtId="0" fontId="0" fillId="2" borderId="0"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4" fillId="0" borderId="0" xfId="0" pivotButton="1" applyFont="1"/>
    <xf numFmtId="0" fontId="4" fillId="0" borderId="12" xfId="0" applyFont="1" applyBorder="1"/>
    <xf numFmtId="0" fontId="4" fillId="0" borderId="13" xfId="0" applyFont="1" applyBorder="1"/>
    <xf numFmtId="0" fontId="4" fillId="0" borderId="14" xfId="0" applyFont="1" applyBorder="1"/>
    <xf numFmtId="0" fontId="4" fillId="0" borderId="15" xfId="0" applyFont="1" applyBorder="1"/>
    <xf numFmtId="0" fontId="4" fillId="0" borderId="17" xfId="0" applyFont="1" applyBorder="1"/>
    <xf numFmtId="0" fontId="4" fillId="0" borderId="18" xfId="0" applyFont="1" applyBorder="1"/>
    <xf numFmtId="0" fontId="4" fillId="0" borderId="19" xfId="0" applyFont="1" applyBorder="1"/>
    <xf numFmtId="0" fontId="4" fillId="0" borderId="16" xfId="0" applyFont="1" applyBorder="1"/>
    <xf numFmtId="0" fontId="0" fillId="0" borderId="0" xfId="0" applyAlignment="1">
      <alignment horizontal="center"/>
    </xf>
  </cellXfs>
  <cellStyles count="1">
    <cellStyle name="Normal" xfId="0" builtinId="0"/>
  </cellStyles>
  <dxfs count="266">
    <dxf>
      <font>
        <b val="0"/>
        <i val="0"/>
        <strike val="0"/>
        <condense val="0"/>
        <extend val="0"/>
        <outline val="0"/>
        <shadow val="0"/>
        <u val="none"/>
        <vertAlign val="baseline"/>
        <sz val="11"/>
        <color indexed="8"/>
        <name val="Trebuchet MS"/>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Trebuchet MS"/>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Trebuchet MS"/>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Trebuchet MS"/>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Trebuchet MS"/>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Trebuchet MS"/>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Trebuchet MS"/>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Trebuchet MS"/>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Trebuchet MS"/>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Trebuchet MS"/>
        <scheme val="none"/>
      </font>
      <numFmt numFmtId="164" formatCode="dd\-mmm\-yy"/>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Trebuchet MS"/>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Trebuchet MS"/>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Trebuchet MS"/>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Trebuchet MS"/>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Trebuchet MS"/>
        <scheme val="none"/>
      </font>
      <numFmt numFmtId="164" formatCode="dd\-mmm\-yy"/>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Trebuchet MS"/>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Trebuchet MS"/>
        <scheme val="none"/>
      </font>
      <numFmt numFmtId="164" formatCode="dd\-mmm\-yy"/>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Trebuchet MS"/>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Trebuchet MS"/>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Trebuchet MS"/>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Trebuchet MS"/>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Trebuchet MS"/>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border>
        <right style="medium">
          <color indexed="64"/>
        </right>
        <top style="medium">
          <color indexed="64"/>
        </top>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right/>
        <top/>
        <bottom/>
      </border>
    </dxf>
    <dxf>
      <border>
        <right style="medium">
          <color indexed="64"/>
        </right>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rder>
    </dxf>
    <dxf>
      <border>
        <right style="medium">
          <color indexed="64"/>
        </right>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medium">
          <color indexed="64"/>
        </right>
        <top style="medium">
          <color indexed="64"/>
        </top>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s>
  <tableStyles count="0" defaultTableStyle="TableStyleMedium2" defaultPivotStyle="PivotStyleLight16"/>
  <colors>
    <mruColors>
      <color rgb="FFDE1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[Workforce Insights Dashboard.xlsx]Pivot Tables!Department</c:name>
    <c:fmtId val="22"/>
  </c:pivotSource>
  <c:chart>
    <c:title>
      <c:tx>
        <c:rich>
          <a:bodyPr rot="0" spcFirstLastPara="1" vertOverflow="ellipsis" vert="horz" wrap="square" anchor="ctr" anchorCtr="1"/>
          <a:lstStyle/>
          <a:p>
            <a:pPr>
              <a:defRPr sz="20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2000" b="1" i="0" u="none" strike="noStrike" baseline="0">
                <a:solidFill>
                  <a:schemeClr val="bg1"/>
                </a:solidFill>
                <a:effectLst/>
                <a:latin typeface="+mn-lt"/>
                <a:ea typeface="+mn-ea"/>
                <a:cs typeface="+mn-cs"/>
              </a:rPr>
              <a:t>Department-wise Employee Distribution</a:t>
            </a:r>
            <a:endParaRPr lang="en-US" sz="2000" u="none">
              <a:solidFill>
                <a:schemeClr val="bg1"/>
              </a:solidFill>
            </a:endParaRPr>
          </a:p>
        </c:rich>
      </c:tx>
      <c:overlay val="0"/>
      <c:spPr>
        <a:solidFill>
          <a:srgbClr val="002060">
            <a:alpha val="50000"/>
          </a:srgbClr>
        </a:solidFill>
        <a:ln>
          <a:noFill/>
        </a:ln>
        <a:effectLst/>
      </c:spPr>
      <c:txPr>
        <a:bodyPr rot="0" spcFirstLastPara="1" vertOverflow="ellipsis" vert="horz" wrap="square" anchor="ctr" anchorCtr="1"/>
        <a:lstStyle/>
        <a:p>
          <a:pPr>
            <a:defRPr sz="20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2">
                  <a:shade val="30000"/>
                  <a:satMod val="115000"/>
                </a:schemeClr>
              </a:gs>
              <a:gs pos="50000">
                <a:schemeClr val="accent2">
                  <a:shade val="67500"/>
                  <a:satMod val="115000"/>
                </a:schemeClr>
              </a:gs>
              <a:gs pos="100000">
                <a:schemeClr val="accent2">
                  <a:shade val="100000"/>
                  <a:satMod val="115000"/>
                </a:schemeClr>
              </a:gs>
            </a:gsLst>
            <a:lin ang="0" scaled="1"/>
            <a:tileRect/>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Tables'!$N$7</c:f>
              <c:strCache>
                <c:ptCount val="1"/>
                <c:pt idx="0">
                  <c:v>Total</c:v>
                </c:pt>
              </c:strCache>
            </c:strRef>
          </c:tx>
          <c:spPr>
            <a:gradFill flip="none" rotWithShape="1">
              <a:gsLst>
                <a:gs pos="0">
                  <a:schemeClr val="accent2">
                    <a:shade val="30000"/>
                    <a:satMod val="115000"/>
                  </a:schemeClr>
                </a:gs>
                <a:gs pos="50000">
                  <a:schemeClr val="accent2">
                    <a:shade val="67500"/>
                    <a:satMod val="115000"/>
                  </a:schemeClr>
                </a:gs>
                <a:gs pos="100000">
                  <a:schemeClr val="accent2">
                    <a:shade val="100000"/>
                    <a:satMod val="115000"/>
                  </a:schemeClr>
                </a:gs>
              </a:gsLst>
              <a:lin ang="0" scaled="1"/>
              <a:tileRect/>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Tables'!$M$8:$M$11</c:f>
              <c:strCache>
                <c:ptCount val="3"/>
                <c:pt idx="0">
                  <c:v>Accounts</c:v>
                </c:pt>
                <c:pt idx="1">
                  <c:v>Operations</c:v>
                </c:pt>
                <c:pt idx="2">
                  <c:v>Sales</c:v>
                </c:pt>
              </c:strCache>
            </c:strRef>
          </c:cat>
          <c:val>
            <c:numRef>
              <c:f>'Pivot Tables'!$N$8:$N$11</c:f>
              <c:numCache>
                <c:formatCode>General</c:formatCode>
                <c:ptCount val="3"/>
                <c:pt idx="0">
                  <c:v>1</c:v>
                </c:pt>
                <c:pt idx="1">
                  <c:v>7</c:v>
                </c:pt>
                <c:pt idx="2">
                  <c:v>7</c:v>
                </c:pt>
              </c:numCache>
            </c:numRef>
          </c:val>
          <c:extLst>
            <c:ext xmlns:c16="http://schemas.microsoft.com/office/drawing/2014/chart" uri="{C3380CC4-5D6E-409C-BE32-E72D297353CC}">
              <c16:uniqueId val="{00000000-7164-4B44-A60A-253D3A3338A0}"/>
            </c:ext>
          </c:extLst>
        </c:ser>
        <c:dLbls>
          <c:dLblPos val="outEnd"/>
          <c:showLegendKey val="0"/>
          <c:showVal val="1"/>
          <c:showCatName val="0"/>
          <c:showSerName val="0"/>
          <c:showPercent val="0"/>
          <c:showBubbleSize val="0"/>
        </c:dLbls>
        <c:gapWidth val="115"/>
        <c:overlap val="-20"/>
        <c:axId val="1757735967"/>
        <c:axId val="1757734719"/>
      </c:barChart>
      <c:catAx>
        <c:axId val="175773596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757734719"/>
        <c:crosses val="autoZero"/>
        <c:auto val="1"/>
        <c:lblAlgn val="ctr"/>
        <c:lblOffset val="100"/>
        <c:noMultiLvlLbl val="0"/>
      </c:catAx>
      <c:valAx>
        <c:axId val="1757734719"/>
        <c:scaling>
          <c:orientation val="minMax"/>
        </c:scaling>
        <c:delete val="1"/>
        <c:axPos val="b"/>
        <c:numFmt formatCode="General" sourceLinked="1"/>
        <c:majorTickMark val="none"/>
        <c:minorTickMark val="none"/>
        <c:tickLblPos val="nextTo"/>
        <c:crossAx val="1757735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[Workforce Insights Dashboard.xlsx]Pivot Tables!Tenure</c:name>
    <c:fmtId val="12"/>
  </c:pivotSource>
  <c:chart>
    <c:title>
      <c:tx>
        <c:rich>
          <a:bodyPr rot="0" spcFirstLastPara="1" vertOverflow="ellipsis" vert="horz" wrap="square" anchor="ctr" anchorCtr="1"/>
          <a:lstStyle/>
          <a:p>
            <a:pPr>
              <a:defRPr sz="20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2000">
                <a:solidFill>
                  <a:schemeClr val="bg1"/>
                </a:solidFill>
                <a:latin typeface="+mn-lt"/>
                <a:ea typeface="+mn-ea"/>
                <a:cs typeface="+mn-cs"/>
              </a:rPr>
              <a:t>Service/Tenure Analysis (ln Years)</a:t>
            </a:r>
            <a:endParaRPr lang="en-US" sz="2000">
              <a:solidFill>
                <a:schemeClr val="bg1"/>
              </a:solidFill>
            </a:endParaRPr>
          </a:p>
        </c:rich>
      </c:tx>
      <c:overlay val="0"/>
      <c:spPr>
        <a:solidFill>
          <a:srgbClr val="002060">
            <a:alpha val="50000"/>
          </a:srgbClr>
        </a:solidFill>
        <a:ln>
          <a:noFill/>
        </a:ln>
        <a:effectLst/>
      </c:spPr>
      <c:txPr>
        <a:bodyPr rot="0" spcFirstLastPara="1" vertOverflow="ellipsis" vert="horz" wrap="square" anchor="ctr" anchorCtr="1"/>
        <a:lstStyle/>
        <a:p>
          <a:pPr>
            <a:defRPr sz="20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shade val="30000"/>
                  <a:satMod val="115000"/>
                </a:schemeClr>
              </a:gs>
              <a:gs pos="50000">
                <a:schemeClr val="accent6">
                  <a:shade val="67500"/>
                  <a:satMod val="115000"/>
                </a:schemeClr>
              </a:gs>
              <a:gs pos="100000">
                <a:schemeClr val="accent6">
                  <a:shade val="100000"/>
                  <a:satMod val="115000"/>
                </a:schemeClr>
              </a:gs>
            </a:gsLst>
            <a:lin ang="0" scaled="1"/>
            <a:tileRect/>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Tables'!$E$17</c:f>
              <c:strCache>
                <c:ptCount val="1"/>
                <c:pt idx="0">
                  <c:v>Total</c:v>
                </c:pt>
              </c:strCache>
            </c:strRef>
          </c:tx>
          <c:spPr>
            <a:gradFill flip="none" rotWithShape="1">
              <a:gsLst>
                <a:gs pos="0">
                  <a:schemeClr val="accent6">
                    <a:shade val="30000"/>
                    <a:satMod val="115000"/>
                  </a:schemeClr>
                </a:gs>
                <a:gs pos="50000">
                  <a:schemeClr val="accent6">
                    <a:shade val="67500"/>
                    <a:satMod val="115000"/>
                  </a:schemeClr>
                </a:gs>
                <a:gs pos="100000">
                  <a:schemeClr val="accent6">
                    <a:shade val="100000"/>
                    <a:satMod val="115000"/>
                  </a:schemeClr>
                </a:gs>
              </a:gsLst>
              <a:lin ang="0" scaled="1"/>
              <a:tileRect/>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Tables'!$D$18:$D$22</c:f>
              <c:strCache>
                <c:ptCount val="4"/>
                <c:pt idx="0">
                  <c:v>&lt;1</c:v>
                </c:pt>
                <c:pt idx="1">
                  <c:v>1-3</c:v>
                </c:pt>
                <c:pt idx="2">
                  <c:v>3-5</c:v>
                </c:pt>
                <c:pt idx="3">
                  <c:v>Above 10</c:v>
                </c:pt>
              </c:strCache>
            </c:strRef>
          </c:cat>
          <c:val>
            <c:numRef>
              <c:f>'Pivot Tables'!$E$18:$E$22</c:f>
              <c:numCache>
                <c:formatCode>General</c:formatCode>
                <c:ptCount val="4"/>
                <c:pt idx="0">
                  <c:v>1</c:v>
                </c:pt>
                <c:pt idx="1">
                  <c:v>9</c:v>
                </c:pt>
                <c:pt idx="2">
                  <c:v>3</c:v>
                </c:pt>
                <c:pt idx="3">
                  <c:v>2</c:v>
                </c:pt>
              </c:numCache>
            </c:numRef>
          </c:val>
          <c:extLst>
            <c:ext xmlns:c16="http://schemas.microsoft.com/office/drawing/2014/chart" uri="{C3380CC4-5D6E-409C-BE32-E72D297353CC}">
              <c16:uniqueId val="{00000000-F360-4323-9A19-A8DBE388B8CA}"/>
            </c:ext>
          </c:extLst>
        </c:ser>
        <c:dLbls>
          <c:dLblPos val="outEnd"/>
          <c:showLegendKey val="0"/>
          <c:showVal val="1"/>
          <c:showCatName val="0"/>
          <c:showSerName val="0"/>
          <c:showPercent val="0"/>
          <c:showBubbleSize val="0"/>
        </c:dLbls>
        <c:gapWidth val="147"/>
        <c:overlap val="19"/>
        <c:axId val="604460063"/>
        <c:axId val="604459647"/>
      </c:barChart>
      <c:catAx>
        <c:axId val="6044600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604459647"/>
        <c:crosses val="autoZero"/>
        <c:auto val="1"/>
        <c:lblAlgn val="ctr"/>
        <c:lblOffset val="100"/>
        <c:noMultiLvlLbl val="0"/>
      </c:catAx>
      <c:valAx>
        <c:axId val="604459647"/>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604460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[Workforce Insights Dashboard.xlsx]Pivot Tables!Female_male</c:name>
    <c:fmtId val="6"/>
  </c:pivotSource>
  <c:chart>
    <c:title>
      <c:tx>
        <c:rich>
          <a:bodyPr rot="0" spcFirstLastPara="1" vertOverflow="ellipsis" vert="horz" wrap="square" anchor="ctr" anchorCtr="1"/>
          <a:lstStyle/>
          <a:p>
            <a:pPr>
              <a:defRPr sz="2000" b="1" i="0" u="none" strike="noStrike" kern="1200" baseline="0">
                <a:solidFill>
                  <a:schemeClr val="lt1"/>
                </a:solidFill>
                <a:latin typeface="+mn-lt"/>
                <a:ea typeface="+mn-ea"/>
                <a:cs typeface="+mn-cs"/>
              </a:defRPr>
            </a:pPr>
            <a:r>
              <a:rPr lang="en-US" sz="2000" b="1" i="0" u="none" strike="noStrike" baseline="0">
                <a:solidFill>
                  <a:schemeClr val="lt1"/>
                </a:solidFill>
                <a:effectLst/>
                <a:latin typeface="+mn-lt"/>
                <a:ea typeface="+mn-ea"/>
                <a:cs typeface="+mn-cs"/>
              </a:rPr>
              <a:t>Gender Analysis</a:t>
            </a:r>
            <a:endParaRPr lang="en-US" sz="2000" b="1">
              <a:solidFill>
                <a:srgbClr val="7030A0"/>
              </a:solidFill>
            </a:endParaRPr>
          </a:p>
        </c:rich>
      </c:tx>
      <c:overlay val="0"/>
      <c:spPr>
        <a:solidFill>
          <a:srgbClr val="7030A0"/>
        </a:soli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2000" b="1" i="0" u="none" strike="noStrike" kern="120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rgbClr val="00B0F0"/>
          </a:solidFill>
          <a:ln>
            <a:noFill/>
          </a:ln>
          <a:effectLst>
            <a:outerShdw blurRad="57150" dist="19050" dir="5400000" algn="ctr" rotWithShape="0">
              <a:srgbClr val="000000">
                <a:alpha val="63000"/>
              </a:srgb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gradFill flip="none" rotWithShape="1">
            <a:gsLst>
              <a:gs pos="0">
                <a:srgbClr val="DE12B2">
                  <a:shade val="30000"/>
                  <a:satMod val="115000"/>
                </a:srgbClr>
              </a:gs>
              <a:gs pos="50000">
                <a:srgbClr val="DE12B2">
                  <a:shade val="67500"/>
                  <a:satMod val="115000"/>
                </a:srgbClr>
              </a:gs>
              <a:gs pos="100000">
                <a:srgbClr val="DE12B2">
                  <a:shade val="100000"/>
                  <a:satMod val="115000"/>
                </a:srgbClr>
              </a:gs>
            </a:gsLst>
            <a:lin ang="2700000" scaled="1"/>
            <a:tileRect/>
          </a:gradFill>
          <a:ln>
            <a:noFill/>
          </a:ln>
          <a:effectLst>
            <a:outerShdw blurRad="57150" dist="19050" dir="5400000" algn="ctr" rotWithShape="0">
              <a:srgbClr val="000000">
                <a:alpha val="63000"/>
              </a:srgbClr>
            </a:outerShdw>
          </a:effectLst>
        </c:spPr>
      </c:pivotFmt>
      <c:pivotFmt>
        <c:idx val="6"/>
        <c:spPr>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lin ang="2700000" scaled="1"/>
            <a:tileRect/>
          </a:gradFill>
          <a:ln>
            <a:noFill/>
          </a:ln>
          <a:effectLst>
            <a:outerShdw blurRad="57150" dist="19050" dir="5400000" algn="ctr" rotWithShape="0">
              <a:srgbClr val="000000">
                <a:alpha val="63000"/>
              </a:srgbClr>
            </a:outerShdw>
          </a:effectLst>
        </c:spPr>
      </c:pivotFmt>
      <c:pivotFmt>
        <c:idx val="7"/>
        <c:spPr>
          <a:solidFill>
            <a:srgbClr val="00B0F0"/>
          </a:solidFill>
          <a:ln>
            <a:noFill/>
          </a:ln>
          <a:effectLst>
            <a:outerShdw blurRad="57150" dist="19050" dir="5400000" algn="ctr" rotWithShape="0">
              <a:srgbClr val="000000">
                <a:alpha val="63000"/>
              </a:srgb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gradFill flip="none" rotWithShape="1">
            <a:gsLst>
              <a:gs pos="0">
                <a:srgbClr val="DE12B2">
                  <a:shade val="30000"/>
                  <a:satMod val="115000"/>
                </a:srgbClr>
              </a:gs>
              <a:gs pos="50000">
                <a:srgbClr val="DE12B2">
                  <a:shade val="67500"/>
                  <a:satMod val="115000"/>
                </a:srgbClr>
              </a:gs>
              <a:gs pos="100000">
                <a:srgbClr val="DE12B2">
                  <a:shade val="100000"/>
                  <a:satMod val="115000"/>
                </a:srgbClr>
              </a:gs>
            </a:gsLst>
            <a:lin ang="2700000" scaled="1"/>
            <a:tileRect/>
          </a:gradFill>
          <a:ln>
            <a:noFill/>
          </a:ln>
          <a:effectLst>
            <a:outerShdw blurRad="57150" dist="19050" dir="5400000" algn="ctr" rotWithShape="0">
              <a:srgbClr val="000000">
                <a:alpha val="63000"/>
              </a:srgbClr>
            </a:outerShdw>
          </a:effectLst>
        </c:spPr>
      </c:pivotFmt>
      <c:pivotFmt>
        <c:idx val="9"/>
        <c:spPr>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lin ang="2700000" scaled="1"/>
            <a:tileRect/>
          </a:gradFill>
          <a:ln>
            <a:noFill/>
          </a:ln>
          <a:effectLst>
            <a:outerShdw blurRad="57150" dist="19050" dir="5400000" algn="ctr" rotWithShape="0">
              <a:srgbClr val="000000">
                <a:alpha val="63000"/>
              </a:srgbClr>
            </a:outerShdw>
          </a:effectLst>
        </c:spPr>
      </c:pivotFmt>
      <c:pivotFmt>
        <c:idx val="10"/>
        <c:spPr>
          <a:solidFill>
            <a:srgbClr val="00B0F0"/>
          </a:solidFill>
          <a:ln>
            <a:noFill/>
          </a:ln>
          <a:effectLst>
            <a:outerShdw blurRad="57150" dist="19050" dir="5400000" algn="ctr" rotWithShape="0">
              <a:srgbClr val="000000">
                <a:alpha val="63000"/>
              </a:srgb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1"/>
        <c:spPr>
          <a:gradFill flip="none" rotWithShape="1">
            <a:gsLst>
              <a:gs pos="0">
                <a:srgbClr val="DE12B2">
                  <a:shade val="30000"/>
                  <a:satMod val="115000"/>
                </a:srgbClr>
              </a:gs>
              <a:gs pos="50000">
                <a:srgbClr val="DE12B2">
                  <a:shade val="67500"/>
                  <a:satMod val="115000"/>
                </a:srgbClr>
              </a:gs>
              <a:gs pos="100000">
                <a:srgbClr val="DE12B2">
                  <a:shade val="100000"/>
                  <a:satMod val="115000"/>
                </a:srgbClr>
              </a:gs>
            </a:gsLst>
            <a:lin ang="2700000" scaled="1"/>
            <a:tileRect/>
          </a:gradFill>
          <a:ln>
            <a:noFill/>
          </a:ln>
          <a:effectLst>
            <a:outerShdw blurRad="57150" dist="19050" dir="5400000" algn="ctr" rotWithShape="0">
              <a:srgbClr val="000000">
                <a:alpha val="63000"/>
              </a:srgbClr>
            </a:outerShdw>
          </a:effectLst>
        </c:spPr>
      </c:pivotFmt>
      <c:pivotFmt>
        <c:idx val="12"/>
        <c:spPr>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lin ang="2700000" scaled="1"/>
            <a:tileRect/>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1897495254816512"/>
          <c:y val="0.11346549415553867"/>
          <c:w val="0.55367458389413482"/>
          <c:h val="0.84369454306666225"/>
        </c:manualLayout>
      </c:layout>
      <c:doughnutChart>
        <c:varyColors val="1"/>
        <c:ser>
          <c:idx val="0"/>
          <c:order val="0"/>
          <c:tx>
            <c:strRef>
              <c:f>'Pivot Tables'!$K$7</c:f>
              <c:strCache>
                <c:ptCount val="1"/>
                <c:pt idx="0">
                  <c:v>Total</c:v>
                </c:pt>
              </c:strCache>
            </c:strRef>
          </c:tx>
          <c:spPr>
            <a:solidFill>
              <a:srgbClr val="00B0F0"/>
            </a:solidFill>
            <a:ln>
              <a:noFill/>
            </a:ln>
            <a:effectLst>
              <a:outerShdw blurRad="57150" dist="19050" dir="5400000" algn="ctr" rotWithShape="0">
                <a:srgbClr val="000000">
                  <a:alpha val="63000"/>
                </a:srgbClr>
              </a:outerShdw>
            </a:effectLst>
          </c:spPr>
          <c:dPt>
            <c:idx val="0"/>
            <c:bubble3D val="0"/>
            <c:spPr>
              <a:gradFill flip="none" rotWithShape="1">
                <a:gsLst>
                  <a:gs pos="0">
                    <a:srgbClr val="DE12B2">
                      <a:shade val="30000"/>
                      <a:satMod val="115000"/>
                    </a:srgbClr>
                  </a:gs>
                  <a:gs pos="50000">
                    <a:srgbClr val="DE12B2">
                      <a:shade val="67500"/>
                      <a:satMod val="115000"/>
                    </a:srgbClr>
                  </a:gs>
                  <a:gs pos="100000">
                    <a:srgbClr val="DE12B2">
                      <a:shade val="100000"/>
                      <a:satMod val="115000"/>
                    </a:srgbClr>
                  </a:gs>
                </a:gsLst>
                <a:lin ang="2700000" scaled="1"/>
                <a:tileRect/>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E3F-4C13-9CC9-1F2B4FE3589A}"/>
              </c:ext>
            </c:extLst>
          </c:dPt>
          <c:dPt>
            <c:idx val="1"/>
            <c:bubble3D val="0"/>
            <c:spPr>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lin ang="2700000" scaled="1"/>
                <a:tileRect/>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E3F-4C13-9CC9-1F2B4FE3589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1"/>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Tables'!$J$8:$J$10</c:f>
              <c:strCache>
                <c:ptCount val="2"/>
                <c:pt idx="0">
                  <c:v>Female</c:v>
                </c:pt>
                <c:pt idx="1">
                  <c:v>Male</c:v>
                </c:pt>
              </c:strCache>
            </c:strRef>
          </c:cat>
          <c:val>
            <c:numRef>
              <c:f>'Pivot Tables'!$K$8:$K$10</c:f>
              <c:numCache>
                <c:formatCode>General</c:formatCode>
                <c:ptCount val="2"/>
                <c:pt idx="0">
                  <c:v>2</c:v>
                </c:pt>
                <c:pt idx="1">
                  <c:v>13</c:v>
                </c:pt>
              </c:numCache>
            </c:numRef>
          </c:val>
          <c:extLst>
            <c:ext xmlns:c16="http://schemas.microsoft.com/office/drawing/2014/chart" uri="{C3380CC4-5D6E-409C-BE32-E72D297353CC}">
              <c16:uniqueId val="{00000004-BE3F-4C13-9CC9-1F2B4FE3589A}"/>
            </c:ext>
          </c:extLst>
        </c:ser>
        <c:dLbls>
          <c:showLegendKey val="0"/>
          <c:showVal val="1"/>
          <c:showCatName val="0"/>
          <c:showSerName val="0"/>
          <c:showPercent val="0"/>
          <c:showBubbleSize val="0"/>
          <c:showLeaderLines val="1"/>
        </c:dLbls>
        <c:firstSliceAng val="0"/>
        <c:holeSize val="50"/>
      </c:doughnutChart>
      <c:spPr>
        <a:noFill/>
        <a:ln>
          <a:noFill/>
        </a:ln>
        <a:effectLst>
          <a:glow rad="101600">
            <a:schemeClr val="accent2">
              <a:satMod val="175000"/>
              <a:alpha val="40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[Workforce Insights Dashboard.xlsx]Pivot Tables!Gradewise</c:name>
    <c:fmtId val="26"/>
  </c:pivotSource>
  <c:chart>
    <c:title>
      <c:tx>
        <c:rich>
          <a:bodyPr rot="0" spcFirstLastPara="1" vertOverflow="ellipsis" vert="horz" wrap="square" anchor="ctr" anchorCtr="1"/>
          <a:lstStyle/>
          <a:p>
            <a:pPr>
              <a:defRPr sz="2000" b="1" i="0" u="none" strike="noStrike" kern="1200" baseline="0">
                <a:solidFill>
                  <a:schemeClr val="dk1">
                    <a:lumMod val="75000"/>
                    <a:lumOff val="25000"/>
                  </a:schemeClr>
                </a:solidFill>
                <a:latin typeface="+mn-lt"/>
                <a:ea typeface="+mn-ea"/>
                <a:cs typeface="+mn-cs"/>
              </a:defRPr>
            </a:pPr>
            <a:r>
              <a:rPr lang="en-US" sz="2000" b="1" i="0" u="none" strike="noStrike" baseline="0">
                <a:solidFill>
                  <a:schemeClr val="bg1"/>
                </a:solidFill>
                <a:effectLst/>
              </a:rPr>
              <a:t>Grade-wise Employee Distribution</a:t>
            </a:r>
            <a:endParaRPr lang="en-US" sz="2000">
              <a:solidFill>
                <a:schemeClr val="bg1"/>
              </a:solidFill>
            </a:endParaRPr>
          </a:p>
        </c:rich>
      </c:tx>
      <c:overlay val="0"/>
      <c:spPr>
        <a:solidFill>
          <a:srgbClr val="7030A0"/>
        </a:solidFill>
        <a:ln>
          <a:noFill/>
        </a:ln>
        <a:effectLst/>
      </c:spPr>
      <c:txPr>
        <a:bodyPr rot="0" spcFirstLastPara="1" vertOverflow="ellipsis" vert="horz" wrap="square" anchor="ctr" anchorCtr="1"/>
        <a:lstStyle/>
        <a:p>
          <a:pPr>
            <a:defRPr sz="20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4">
                  <a:shade val="30000"/>
                  <a:satMod val="115000"/>
                </a:schemeClr>
              </a:gs>
              <a:gs pos="50000">
                <a:schemeClr val="accent4">
                  <a:shade val="67500"/>
                  <a:satMod val="115000"/>
                </a:schemeClr>
              </a:gs>
              <a:gs pos="100000">
                <a:schemeClr val="accent4">
                  <a:shade val="100000"/>
                  <a:satMod val="115000"/>
                </a:schemeClr>
              </a:gs>
            </a:gsLst>
            <a:lin ang="0" scaled="1"/>
            <a:tileRect/>
          </a:gradFill>
          <a:ln w="9525" cap="flat" cmpd="sng" algn="ctr">
            <a:solidFill>
              <a:schemeClr val="lt1">
                <a:alpha val="50000"/>
              </a:schemeClr>
            </a:solidFill>
            <a:round/>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Tables'!$K$24</c:f>
              <c:strCache>
                <c:ptCount val="1"/>
                <c:pt idx="0">
                  <c:v>Total</c:v>
                </c:pt>
              </c:strCache>
            </c:strRef>
          </c:tx>
          <c:spPr>
            <a:gradFill flip="none" rotWithShape="1">
              <a:gsLst>
                <a:gs pos="0">
                  <a:schemeClr val="accent4">
                    <a:shade val="30000"/>
                    <a:satMod val="115000"/>
                  </a:schemeClr>
                </a:gs>
                <a:gs pos="50000">
                  <a:schemeClr val="accent4">
                    <a:shade val="67500"/>
                    <a:satMod val="115000"/>
                  </a:schemeClr>
                </a:gs>
                <a:gs pos="100000">
                  <a:schemeClr val="accent4">
                    <a:shade val="100000"/>
                    <a:satMod val="115000"/>
                  </a:schemeClr>
                </a:gs>
              </a:gsLst>
              <a:lin ang="0" scaled="1"/>
              <a:tileRect/>
            </a:gradFill>
            <a:ln w="9525" cap="flat" cmpd="sng" algn="ctr">
              <a:solidFill>
                <a:schemeClr val="lt1">
                  <a:alpha val="50000"/>
                </a:schemeClr>
              </a:solidFill>
              <a:round/>
            </a:ln>
            <a:effectLst/>
          </c:spPr>
          <c:invertIfNegative val="0"/>
          <c:dLbls>
            <c:spPr>
              <a:solidFill>
                <a:srgbClr val="002060"/>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Tables'!$J$25:$J$32</c:f>
              <c:strCache>
                <c:ptCount val="7"/>
                <c:pt idx="0">
                  <c:v>Workers</c:v>
                </c:pt>
                <c:pt idx="1">
                  <c:v>Supervisor</c:v>
                </c:pt>
                <c:pt idx="2">
                  <c:v>Sr. Supervisor</c:v>
                </c:pt>
                <c:pt idx="3">
                  <c:v>Manager</c:v>
                </c:pt>
                <c:pt idx="4">
                  <c:v>Executive</c:v>
                </c:pt>
                <c:pt idx="5">
                  <c:v>Sr. Executive</c:v>
                </c:pt>
                <c:pt idx="6">
                  <c:v>Sr. Manager</c:v>
                </c:pt>
              </c:strCache>
            </c:strRef>
          </c:cat>
          <c:val>
            <c:numRef>
              <c:f>'Pivot Tables'!$K$25:$K$32</c:f>
              <c:numCache>
                <c:formatCode>General</c:formatCode>
                <c:ptCount val="7"/>
                <c:pt idx="0">
                  <c:v>6</c:v>
                </c:pt>
                <c:pt idx="1">
                  <c:v>3</c:v>
                </c:pt>
                <c:pt idx="2">
                  <c:v>2</c:v>
                </c:pt>
                <c:pt idx="3">
                  <c:v>1</c:v>
                </c:pt>
                <c:pt idx="4">
                  <c:v>1</c:v>
                </c:pt>
                <c:pt idx="5">
                  <c:v>1</c:v>
                </c:pt>
                <c:pt idx="6">
                  <c:v>1</c:v>
                </c:pt>
              </c:numCache>
            </c:numRef>
          </c:val>
          <c:extLst>
            <c:ext xmlns:c16="http://schemas.microsoft.com/office/drawing/2014/chart" uri="{C3380CC4-5D6E-409C-BE32-E72D297353CC}">
              <c16:uniqueId val="{00000000-24A1-46C2-AC61-EF5BCEDB0788}"/>
            </c:ext>
          </c:extLst>
        </c:ser>
        <c:dLbls>
          <c:dLblPos val="outEnd"/>
          <c:showLegendKey val="0"/>
          <c:showVal val="1"/>
          <c:showCatName val="0"/>
          <c:showSerName val="0"/>
          <c:showPercent val="0"/>
          <c:showBubbleSize val="0"/>
        </c:dLbls>
        <c:gapWidth val="65"/>
        <c:axId val="323409055"/>
        <c:axId val="323404479"/>
      </c:barChart>
      <c:catAx>
        <c:axId val="32340905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100" b="1" i="0" u="none" strike="noStrike" kern="1200" cap="all" baseline="0">
                <a:solidFill>
                  <a:schemeClr val="dk1">
                    <a:lumMod val="75000"/>
                    <a:lumOff val="25000"/>
                  </a:schemeClr>
                </a:solidFill>
                <a:latin typeface="+mn-lt"/>
                <a:ea typeface="+mn-ea"/>
                <a:cs typeface="+mn-cs"/>
              </a:defRPr>
            </a:pPr>
            <a:endParaRPr lang="en-US"/>
          </a:p>
        </c:txPr>
        <c:crossAx val="323404479"/>
        <c:crosses val="autoZero"/>
        <c:auto val="1"/>
        <c:lblAlgn val="ctr"/>
        <c:lblOffset val="100"/>
        <c:noMultiLvlLbl val="0"/>
      </c:catAx>
      <c:valAx>
        <c:axId val="3234044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323409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 Insights Dashboard.xlsx]Pivot Tables!management-Non Man</c:name>
    <c:fmtId val="26"/>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solidFill>
                  <a:schemeClr val="bg1"/>
                </a:solidFill>
              </a:rPr>
              <a:t>Employee</a:t>
            </a:r>
            <a:r>
              <a:rPr lang="en-US" sz="1400" baseline="0">
                <a:solidFill>
                  <a:schemeClr val="bg1"/>
                </a:solidFill>
              </a:rPr>
              <a:t> Type Analysis</a:t>
            </a:r>
            <a:endParaRPr lang="en-US" sz="1400">
              <a:solidFill>
                <a:schemeClr val="bg1"/>
              </a:solidFill>
            </a:endParaRPr>
          </a:p>
        </c:rich>
      </c:tx>
      <c:overlay val="0"/>
      <c:spPr>
        <a:solidFill>
          <a:srgbClr val="7030A0"/>
        </a:solid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2700000" scaled="1"/>
            <a:tileRect/>
          </a:gra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2700000" scaled="1"/>
            <a:tileRect/>
          </a:gradFill>
          <a:ln>
            <a:noFill/>
          </a:ln>
          <a:effectLst>
            <a:outerShdw blurRad="254000" sx="102000" sy="102000" algn="ctr" rotWithShape="0">
              <a:prstClr val="black">
                <a:alpha val="20000"/>
              </a:prstClr>
            </a:outerShdw>
          </a:effectLst>
          <a:sp3d/>
        </c:spPr>
      </c:pivotFmt>
      <c:pivotFmt>
        <c:idx val="6"/>
        <c:spPr>
          <a:solidFill>
            <a:srgbClr val="002060"/>
          </a:solidFill>
          <a:ln>
            <a:noFill/>
          </a:ln>
          <a:effectLst>
            <a:outerShdw blurRad="254000" sx="102000" sy="102000" algn="ctr" rotWithShape="0">
              <a:prstClr val="black">
                <a:alpha val="20000"/>
              </a:prstClr>
            </a:outerShdw>
          </a:effectLst>
          <a:sp3d/>
        </c:spPr>
      </c:pivotFmt>
      <c:pivotFmt>
        <c:idx val="7"/>
        <c:spPr>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2700000" scaled="1"/>
            <a:tileRect/>
          </a:gra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2700000" scaled="1"/>
            <a:tileRect/>
          </a:gradFill>
          <a:ln>
            <a:noFill/>
          </a:ln>
          <a:effectLst>
            <a:outerShdw blurRad="254000" sx="102000" sy="102000" algn="ctr" rotWithShape="0">
              <a:prstClr val="black">
                <a:alpha val="20000"/>
              </a:prstClr>
            </a:outerShdw>
          </a:effectLst>
          <a:sp3d/>
        </c:spPr>
      </c:pivotFmt>
      <c:pivotFmt>
        <c:idx val="9"/>
        <c:spPr>
          <a:solidFill>
            <a:srgbClr val="002060"/>
          </a:solidFill>
          <a:ln>
            <a:noFill/>
          </a:ln>
          <a:effectLst>
            <a:outerShdw blurRad="254000" sx="102000" sy="102000" algn="ctr" rotWithShape="0">
              <a:prstClr val="black">
                <a:alpha val="20000"/>
              </a:prstClr>
            </a:outerShdw>
          </a:effectLst>
          <a:sp3d/>
        </c:spPr>
      </c:pivotFmt>
      <c:pivotFmt>
        <c:idx val="10"/>
        <c:spPr>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2700000" scaled="1"/>
            <a:tileRect/>
          </a:gradFill>
          <a:ln>
            <a:noFill/>
          </a:ln>
          <a:effectLst>
            <a:outerShdw blurRad="254000" sx="102000" sy="102000" algn="ctr" rotWithShape="0">
              <a:prstClr val="black">
                <a:alpha val="20000"/>
              </a:prstClr>
            </a:outerShdw>
          </a:effectLst>
          <a:sp3d/>
        </c:spPr>
        <c:marker>
          <c:symbol val="none"/>
        </c:marker>
        <c:dLbl>
          <c:idx val="0"/>
          <c:spPr>
            <a:solidFill>
              <a:sysClr val="window" lastClr="FFFFFF"/>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1"/>
        <c:spPr>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2700000" scaled="1"/>
            <a:tileRect/>
          </a:gradFill>
          <a:ln>
            <a:noFill/>
          </a:ln>
          <a:effectLst>
            <a:outerShdw blurRad="254000" sx="102000" sy="102000" algn="ctr" rotWithShape="0">
              <a:prstClr val="black">
                <a:alpha val="20000"/>
              </a:prstClr>
            </a:outerShdw>
          </a:effectLst>
          <a:sp3d/>
        </c:spPr>
      </c:pivotFmt>
      <c:pivotFmt>
        <c:idx val="12"/>
        <c:spPr>
          <a:solidFill>
            <a:srgbClr val="002060"/>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Tables'!$K$16</c:f>
              <c:strCache>
                <c:ptCount val="1"/>
                <c:pt idx="0">
                  <c:v>Total</c:v>
                </c:pt>
              </c:strCache>
            </c:strRef>
          </c:tx>
          <c:spPr>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2700000" scaled="1"/>
              <a:tileRect/>
            </a:gradFill>
          </c:spPr>
          <c:dPt>
            <c:idx val="0"/>
            <c:bubble3D val="0"/>
            <c:spPr>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2700000" scaled="1"/>
                <a:tileRect/>
              </a:gra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4BCF-46F2-9EC0-557F84A22E9F}"/>
              </c:ext>
            </c:extLst>
          </c:dPt>
          <c:dPt>
            <c:idx val="1"/>
            <c:bubble3D val="0"/>
            <c:spPr>
              <a:solidFill>
                <a:srgbClr val="002060"/>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4BCF-46F2-9EC0-557F84A22E9F}"/>
              </c:ext>
            </c:extLst>
          </c:dPt>
          <c:dLbls>
            <c:spPr>
              <a:solidFill>
                <a:sysClr val="window" lastClr="FFFFFF"/>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Tables'!$J$17:$J$19</c:f>
              <c:strCache>
                <c:ptCount val="2"/>
                <c:pt idx="0">
                  <c:v>Management</c:v>
                </c:pt>
                <c:pt idx="1">
                  <c:v>Non Management</c:v>
                </c:pt>
              </c:strCache>
            </c:strRef>
          </c:cat>
          <c:val>
            <c:numRef>
              <c:f>'Pivot Tables'!$K$17:$K$19</c:f>
              <c:numCache>
                <c:formatCode>General</c:formatCode>
                <c:ptCount val="2"/>
                <c:pt idx="0">
                  <c:v>2</c:v>
                </c:pt>
                <c:pt idx="1">
                  <c:v>13</c:v>
                </c:pt>
              </c:numCache>
            </c:numRef>
          </c:val>
          <c:extLst>
            <c:ext xmlns:c16="http://schemas.microsoft.com/office/drawing/2014/chart" uri="{C3380CC4-5D6E-409C-BE32-E72D297353CC}">
              <c16:uniqueId val="{00000004-4BCF-46F2-9EC0-557F84A22E9F}"/>
            </c:ext>
          </c:extLst>
        </c:ser>
        <c:dLbls>
          <c:showLegendKey val="0"/>
          <c:showVal val="0"/>
          <c:showCatName val="0"/>
          <c:showSerName val="0"/>
          <c:showPercent val="1"/>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 Insights Dashboard.xlsx]Pivot Tables!Joining Trend</c:name>
    <c:fmtId val="20"/>
  </c:pivotSource>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b="1" i="0" u="none" strike="noStrike" baseline="0">
                <a:effectLst/>
              </a:rPr>
              <a:t>Joining Trend Analysis</a:t>
            </a:r>
            <a:endParaRPr lang="en-US" sz="2000"/>
          </a:p>
        </c:rich>
      </c:tx>
      <c:overlay val="0"/>
      <c:spPr>
        <a:solidFill>
          <a:srgbClr val="002060"/>
        </a:solid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Tables'!$H$15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solidFill>
                <a:srgbClr val="002060"/>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Tables'!$G$16:$G$23</c:f>
              <c:strCache>
                <c:ptCount val="7"/>
                <c:pt idx="0">
                  <c:v>2002</c:v>
                </c:pt>
                <c:pt idx="1">
                  <c:v>2003</c:v>
                </c:pt>
                <c:pt idx="2">
                  <c:v>2012</c:v>
                </c:pt>
                <c:pt idx="3">
                  <c:v>2013</c:v>
                </c:pt>
                <c:pt idx="4">
                  <c:v>2014</c:v>
                </c:pt>
                <c:pt idx="5">
                  <c:v>2015</c:v>
                </c:pt>
                <c:pt idx="6">
                  <c:v>2016</c:v>
                </c:pt>
              </c:strCache>
            </c:strRef>
          </c:cat>
          <c:val>
            <c:numRef>
              <c:f>'Pivot Tables'!$H$16:$H$23</c:f>
              <c:numCache>
                <c:formatCode>General</c:formatCode>
                <c:ptCount val="7"/>
                <c:pt idx="0">
                  <c:v>1</c:v>
                </c:pt>
                <c:pt idx="1">
                  <c:v>2</c:v>
                </c:pt>
                <c:pt idx="2">
                  <c:v>4</c:v>
                </c:pt>
                <c:pt idx="3">
                  <c:v>5</c:v>
                </c:pt>
                <c:pt idx="4">
                  <c:v>8</c:v>
                </c:pt>
                <c:pt idx="5">
                  <c:v>12</c:v>
                </c:pt>
                <c:pt idx="6">
                  <c:v>15</c:v>
                </c:pt>
              </c:numCache>
            </c:numRef>
          </c:val>
          <c:smooth val="0"/>
          <c:extLst>
            <c:ext xmlns:c16="http://schemas.microsoft.com/office/drawing/2014/chart" uri="{C3380CC4-5D6E-409C-BE32-E72D297353CC}">
              <c16:uniqueId val="{00000000-5938-4540-B695-AE648D9CCBE3}"/>
            </c:ext>
          </c:extLst>
        </c:ser>
        <c:dLbls>
          <c:dLblPos val="t"/>
          <c:showLegendKey val="0"/>
          <c:showVal val="1"/>
          <c:showCatName val="0"/>
          <c:showSerName val="0"/>
          <c:showPercent val="0"/>
          <c:showBubbleSize val="0"/>
        </c:dLbls>
        <c:marker val="1"/>
        <c:smooth val="0"/>
        <c:axId val="512624847"/>
        <c:axId val="512626095"/>
      </c:lineChart>
      <c:catAx>
        <c:axId val="51262484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crossAx val="512626095"/>
        <c:crosses val="autoZero"/>
        <c:auto val="1"/>
        <c:lblAlgn val="ctr"/>
        <c:lblOffset val="100"/>
        <c:noMultiLvlLbl val="0"/>
      </c:catAx>
      <c:valAx>
        <c:axId val="5126260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lt1">
                    <a:lumMod val="85000"/>
                  </a:schemeClr>
                </a:solidFill>
                <a:latin typeface="+mn-lt"/>
                <a:ea typeface="+mn-ea"/>
                <a:cs typeface="+mn-cs"/>
              </a:defRPr>
            </a:pPr>
            <a:endParaRPr lang="en-US"/>
          </a:p>
        </c:txPr>
        <c:crossAx val="512624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8100">
      <a:solidFill>
        <a:schemeClr val="tx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0</xdr:colOff>
      <xdr:row>3</xdr:row>
      <xdr:rowOff>0</xdr:rowOff>
    </xdr:from>
    <xdr:to>
      <xdr:col>31</xdr:col>
      <xdr:colOff>3087</xdr:colOff>
      <xdr:row>5</xdr:row>
      <xdr:rowOff>173788</xdr:rowOff>
    </xdr:to>
    <xdr:sp macro="" textlink="">
      <xdr:nvSpPr>
        <xdr:cNvPr id="2" name="Rectangle: Rounded Corners 1">
          <a:extLst>
            <a:ext uri="{FF2B5EF4-FFF2-40B4-BE49-F238E27FC236}">
              <a16:creationId xmlns:a16="http://schemas.microsoft.com/office/drawing/2014/main" id="{8829CCBC-BAF2-4794-8825-C5897960A2A6}"/>
            </a:ext>
          </a:extLst>
        </xdr:cNvPr>
        <xdr:cNvSpPr/>
      </xdr:nvSpPr>
      <xdr:spPr>
        <a:xfrm>
          <a:off x="1402080" y="0"/>
          <a:ext cx="16035567" cy="554788"/>
        </a:xfrm>
        <a:prstGeom prst="roundRect">
          <a:avLst/>
        </a:prstGeom>
        <a:ln w="38100">
          <a:solidFill>
            <a:schemeClr val="tx1"/>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Workforce Insights Dashboard</a:t>
          </a:r>
        </a:p>
      </xdr:txBody>
    </xdr:sp>
    <xdr:clientData/>
  </xdr:twoCellAnchor>
  <xdr:twoCellAnchor>
    <xdr:from>
      <xdr:col>17</xdr:col>
      <xdr:colOff>0</xdr:colOff>
      <xdr:row>6</xdr:row>
      <xdr:rowOff>-1</xdr:rowOff>
    </xdr:from>
    <xdr:to>
      <xdr:col>20</xdr:col>
      <xdr:colOff>612320</xdr:colOff>
      <xdr:row>11</xdr:row>
      <xdr:rowOff>13368</xdr:rowOff>
    </xdr:to>
    <xdr:sp macro="" textlink="'Pivot Tables'!A5">
      <xdr:nvSpPr>
        <xdr:cNvPr id="4" name="Oval 3">
          <a:extLst>
            <a:ext uri="{FF2B5EF4-FFF2-40B4-BE49-F238E27FC236}">
              <a16:creationId xmlns:a16="http://schemas.microsoft.com/office/drawing/2014/main" id="{D18C2622-FE18-413E-B060-C9E925C5D83D}"/>
            </a:ext>
          </a:extLst>
        </xdr:cNvPr>
        <xdr:cNvSpPr/>
      </xdr:nvSpPr>
      <xdr:spPr>
        <a:xfrm>
          <a:off x="8137071" y="557892"/>
          <a:ext cx="2449285" cy="925047"/>
        </a:xfrm>
        <a:prstGeom prst="ellipse">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fld id="{56410BBE-8035-4761-8747-8E31D03034A7}" type="TxLink">
            <a:rPr lang="en-US" sz="1600" b="1" i="1" u="none" strike="noStrike">
              <a:solidFill>
                <a:schemeClr val="bg1"/>
              </a:solidFill>
              <a:latin typeface="+mn-lt"/>
              <a:ea typeface="Calibri"/>
              <a:cs typeface="Calibri"/>
            </a:rPr>
            <a:pPr algn="ctr"/>
            <a:t>Total Employees 166</a:t>
          </a:fld>
          <a:endParaRPr lang="en-US" sz="1600" b="1" i="1">
            <a:solidFill>
              <a:schemeClr val="bg1"/>
            </a:solidFill>
            <a:latin typeface="+mn-lt"/>
          </a:endParaRPr>
        </a:p>
      </xdr:txBody>
    </xdr:sp>
    <xdr:clientData/>
  </xdr:twoCellAnchor>
  <xdr:twoCellAnchor>
    <xdr:from>
      <xdr:col>5</xdr:col>
      <xdr:colOff>1251858</xdr:colOff>
      <xdr:row>5</xdr:row>
      <xdr:rowOff>173788</xdr:rowOff>
    </xdr:from>
    <xdr:to>
      <xdr:col>9</xdr:col>
      <xdr:colOff>598715</xdr:colOff>
      <xdr:row>10</xdr:row>
      <xdr:rowOff>187158</xdr:rowOff>
    </xdr:to>
    <xdr:sp macro="" textlink="'Pivot Tables'!D5">
      <xdr:nvSpPr>
        <xdr:cNvPr id="5" name="Oval 4">
          <a:extLst>
            <a:ext uri="{FF2B5EF4-FFF2-40B4-BE49-F238E27FC236}">
              <a16:creationId xmlns:a16="http://schemas.microsoft.com/office/drawing/2014/main" id="{DB825B0F-34A0-4264-AB85-5AD8783DFC39}"/>
            </a:ext>
          </a:extLst>
        </xdr:cNvPr>
        <xdr:cNvSpPr/>
      </xdr:nvSpPr>
      <xdr:spPr>
        <a:xfrm>
          <a:off x="1387929" y="541181"/>
          <a:ext cx="2449286" cy="925048"/>
        </a:xfrm>
        <a:prstGeom prst="ellipse">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D54B2063-ED8A-4B3A-AFE4-38E10AF0C734}" type="TxLink">
            <a:rPr lang="en-US" sz="1400" b="1" i="1" u="none" strike="noStrike">
              <a:solidFill>
                <a:schemeClr val="bg1"/>
              </a:solidFill>
              <a:latin typeface="+mn-lt"/>
              <a:ea typeface="Calibri"/>
              <a:cs typeface="Calibri"/>
            </a:rPr>
            <a:pPr algn="ctr"/>
            <a:t>Active Employees 151</a:t>
          </a:fld>
          <a:endParaRPr lang="en-US" sz="1400" b="1" i="1">
            <a:solidFill>
              <a:schemeClr val="bg1"/>
            </a:solidFill>
            <a:latin typeface="+mn-lt"/>
          </a:endParaRPr>
        </a:p>
      </xdr:txBody>
    </xdr:sp>
    <xdr:clientData/>
  </xdr:twoCellAnchor>
  <xdr:twoCellAnchor>
    <xdr:from>
      <xdr:col>27</xdr:col>
      <xdr:colOff>1</xdr:colOff>
      <xdr:row>5</xdr:row>
      <xdr:rowOff>173789</xdr:rowOff>
    </xdr:from>
    <xdr:to>
      <xdr:col>31</xdr:col>
      <xdr:colOff>0</xdr:colOff>
      <xdr:row>10</xdr:row>
      <xdr:rowOff>187158</xdr:rowOff>
    </xdr:to>
    <xdr:sp macro="" textlink="'Pivot Tables'!G5">
      <xdr:nvSpPr>
        <xdr:cNvPr id="6" name="Oval 5">
          <a:extLst>
            <a:ext uri="{FF2B5EF4-FFF2-40B4-BE49-F238E27FC236}">
              <a16:creationId xmlns:a16="http://schemas.microsoft.com/office/drawing/2014/main" id="{3388F389-949F-4D64-86A7-080EADB30BEE}"/>
            </a:ext>
          </a:extLst>
        </xdr:cNvPr>
        <xdr:cNvSpPr/>
      </xdr:nvSpPr>
      <xdr:spPr>
        <a:xfrm>
          <a:off x="15035894" y="541182"/>
          <a:ext cx="2449285" cy="925047"/>
        </a:xfrm>
        <a:prstGeom prst="ellipse">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8978C35C-813A-40BB-8874-89E0DF2F831B}" type="TxLink">
            <a:rPr lang="en-US" sz="1400" b="1" i="1" u="none" strike="noStrike">
              <a:solidFill>
                <a:schemeClr val="bg1"/>
              </a:solidFill>
              <a:latin typeface="+mn-lt"/>
              <a:ea typeface="Calibri"/>
              <a:cs typeface="Calibri"/>
            </a:rPr>
            <a:pPr algn="ctr"/>
            <a:t>In-Active Employees 14</a:t>
          </a:fld>
          <a:endParaRPr lang="en-US" sz="1400" b="1" i="1">
            <a:solidFill>
              <a:schemeClr val="bg1"/>
            </a:solidFill>
            <a:latin typeface="+mn-lt"/>
          </a:endParaRPr>
        </a:p>
      </xdr:txBody>
    </xdr:sp>
    <xdr:clientData/>
  </xdr:twoCellAnchor>
  <xdr:twoCellAnchor>
    <xdr:from>
      <xdr:col>6</xdr:col>
      <xdr:colOff>0</xdr:colOff>
      <xdr:row>11</xdr:row>
      <xdr:rowOff>26736</xdr:rowOff>
    </xdr:from>
    <xdr:to>
      <xdr:col>16</xdr:col>
      <xdr:colOff>0</xdr:colOff>
      <xdr:row>21</xdr:row>
      <xdr:rowOff>76200</xdr:rowOff>
    </xdr:to>
    <xdr:graphicFrame macro="">
      <xdr:nvGraphicFramePr>
        <xdr:cNvPr id="7" name="Chart 6">
          <a:extLst>
            <a:ext uri="{FF2B5EF4-FFF2-40B4-BE49-F238E27FC236}">
              <a16:creationId xmlns:a16="http://schemas.microsoft.com/office/drawing/2014/main" id="{239C11D6-0C1B-4723-AD43-D030F68887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11</xdr:row>
      <xdr:rowOff>26737</xdr:rowOff>
    </xdr:from>
    <xdr:to>
      <xdr:col>26</xdr:col>
      <xdr:colOff>0</xdr:colOff>
      <xdr:row>21</xdr:row>
      <xdr:rowOff>59394</xdr:rowOff>
    </xdr:to>
    <xdr:graphicFrame macro="">
      <xdr:nvGraphicFramePr>
        <xdr:cNvPr id="8" name="Chart 7">
          <a:extLst>
            <a:ext uri="{FF2B5EF4-FFF2-40B4-BE49-F238E27FC236}">
              <a16:creationId xmlns:a16="http://schemas.microsoft.com/office/drawing/2014/main" id="{940C3578-AFF2-4551-826B-7F07CA7F62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21</xdr:row>
      <xdr:rowOff>26737</xdr:rowOff>
    </xdr:from>
    <xdr:to>
      <xdr:col>12</xdr:col>
      <xdr:colOff>13369</xdr:colOff>
      <xdr:row>38</xdr:row>
      <xdr:rowOff>0</xdr:rowOff>
    </xdr:to>
    <xdr:graphicFrame macro="">
      <xdr:nvGraphicFramePr>
        <xdr:cNvPr id="9" name="Chart 8">
          <a:extLst>
            <a:ext uri="{FF2B5EF4-FFF2-40B4-BE49-F238E27FC236}">
              <a16:creationId xmlns:a16="http://schemas.microsoft.com/office/drawing/2014/main" id="{11CA5590-F6C4-4328-9E1F-22367C7911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21</xdr:row>
      <xdr:rowOff>26737</xdr:rowOff>
    </xdr:from>
    <xdr:to>
      <xdr:col>20</xdr:col>
      <xdr:colOff>0</xdr:colOff>
      <xdr:row>38</xdr:row>
      <xdr:rowOff>0</xdr:rowOff>
    </xdr:to>
    <xdr:graphicFrame macro="">
      <xdr:nvGraphicFramePr>
        <xdr:cNvPr id="11" name="Chart 10">
          <a:extLst>
            <a:ext uri="{FF2B5EF4-FFF2-40B4-BE49-F238E27FC236}">
              <a16:creationId xmlns:a16="http://schemas.microsoft.com/office/drawing/2014/main" id="{692408D4-C78B-4095-8849-60DFBEEC29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26737</xdr:colOff>
      <xdr:row>21</xdr:row>
      <xdr:rowOff>26736</xdr:rowOff>
    </xdr:from>
    <xdr:to>
      <xdr:col>26</xdr:col>
      <xdr:colOff>13368</xdr:colOff>
      <xdr:row>38</xdr:row>
      <xdr:rowOff>15240</xdr:rowOff>
    </xdr:to>
    <xdr:graphicFrame macro="">
      <xdr:nvGraphicFramePr>
        <xdr:cNvPr id="12" name="Chart 11">
          <a:extLst>
            <a:ext uri="{FF2B5EF4-FFF2-40B4-BE49-F238E27FC236}">
              <a16:creationId xmlns:a16="http://schemas.microsoft.com/office/drawing/2014/main" id="{7E682536-9CB9-40F9-BF26-725BCCF7A1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1251858</xdr:colOff>
      <xdr:row>38</xdr:row>
      <xdr:rowOff>0</xdr:rowOff>
    </xdr:from>
    <xdr:to>
      <xdr:col>26</xdr:col>
      <xdr:colOff>13368</xdr:colOff>
      <xdr:row>53</xdr:row>
      <xdr:rowOff>0</xdr:rowOff>
    </xdr:to>
    <xdr:graphicFrame macro="">
      <xdr:nvGraphicFramePr>
        <xdr:cNvPr id="14" name="Chart 13">
          <a:extLst>
            <a:ext uri="{FF2B5EF4-FFF2-40B4-BE49-F238E27FC236}">
              <a16:creationId xmlns:a16="http://schemas.microsoft.com/office/drawing/2014/main" id="{965ADE95-26D9-42FC-9381-0554FAB1F8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26</xdr:col>
      <xdr:colOff>13368</xdr:colOff>
      <xdr:row>16</xdr:row>
      <xdr:rowOff>176892</xdr:rowOff>
    </xdr:from>
    <xdr:to>
      <xdr:col>31</xdr:col>
      <xdr:colOff>0</xdr:colOff>
      <xdr:row>26</xdr:row>
      <xdr:rowOff>60960</xdr:rowOff>
    </xdr:to>
    <mc:AlternateContent xmlns:mc="http://schemas.openxmlformats.org/markup-compatibility/2006" xmlns:a14="http://schemas.microsoft.com/office/drawing/2010/main">
      <mc:Choice Requires="a14">
        <xdr:graphicFrame macro="">
          <xdr:nvGraphicFramePr>
            <xdr:cNvPr id="15" name="Age Group 1">
              <a:extLst>
                <a:ext uri="{FF2B5EF4-FFF2-40B4-BE49-F238E27FC236}">
                  <a16:creationId xmlns:a16="http://schemas.microsoft.com/office/drawing/2014/main" id="{EEA6F6EE-EDBB-4B2F-A6CD-AD44D992E9F0}"/>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13661332" y="2544535"/>
              <a:ext cx="3823847" cy="16464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28608</xdr:colOff>
      <xdr:row>26</xdr:row>
      <xdr:rowOff>45720</xdr:rowOff>
    </xdr:from>
    <xdr:to>
      <xdr:col>31</xdr:col>
      <xdr:colOff>15240</xdr:colOff>
      <xdr:row>33</xdr:row>
      <xdr:rowOff>152401</xdr:rowOff>
    </xdr:to>
    <mc:AlternateContent xmlns:mc="http://schemas.openxmlformats.org/markup-compatibility/2006" xmlns:a14="http://schemas.microsoft.com/office/drawing/2010/main">
      <mc:Choice Requires="a14">
        <xdr:graphicFrame macro="">
          <xdr:nvGraphicFramePr>
            <xdr:cNvPr id="16" name="Department 1">
              <a:extLst>
                <a:ext uri="{FF2B5EF4-FFF2-40B4-BE49-F238E27FC236}">
                  <a16:creationId xmlns:a16="http://schemas.microsoft.com/office/drawing/2014/main" id="{D6F5F22F-B575-49D0-A844-3E94800236FF}"/>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3622688" y="5745480"/>
              <a:ext cx="3827112" cy="16764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13368</xdr:colOff>
      <xdr:row>33</xdr:row>
      <xdr:rowOff>198120</xdr:rowOff>
    </xdr:from>
    <xdr:to>
      <xdr:col>31</xdr:col>
      <xdr:colOff>0</xdr:colOff>
      <xdr:row>42</xdr:row>
      <xdr:rowOff>76200</xdr:rowOff>
    </xdr:to>
    <mc:AlternateContent xmlns:mc="http://schemas.openxmlformats.org/markup-compatibility/2006" xmlns:a14="http://schemas.microsoft.com/office/drawing/2010/main">
      <mc:Choice Requires="a14">
        <xdr:graphicFrame macro="">
          <xdr:nvGraphicFramePr>
            <xdr:cNvPr id="17" name="Employment Status 1">
              <a:extLst>
                <a:ext uri="{FF2B5EF4-FFF2-40B4-BE49-F238E27FC236}">
                  <a16:creationId xmlns:a16="http://schemas.microsoft.com/office/drawing/2014/main" id="{79C66DBA-F38F-461A-9463-A841240F4F80}"/>
                </a:ext>
              </a:extLst>
            </xdr:cNvPr>
            <xdr:cNvGraphicFramePr/>
          </xdr:nvGraphicFramePr>
          <xdr:xfrm>
            <a:off x="0" y="0"/>
            <a:ext cx="0" cy="0"/>
          </xdr:xfrm>
          <a:graphic>
            <a:graphicData uri="http://schemas.microsoft.com/office/drawing/2010/slicer">
              <sle:slicer xmlns:sle="http://schemas.microsoft.com/office/drawing/2010/slicer" name="Employment Status 1"/>
            </a:graphicData>
          </a:graphic>
        </xdr:graphicFrame>
      </mc:Choice>
      <mc:Fallback xmlns="">
        <xdr:sp macro="" textlink="">
          <xdr:nvSpPr>
            <xdr:cNvPr id="0" name=""/>
            <xdr:cNvSpPr>
              <a:spLocks noTextEdit="1"/>
            </xdr:cNvSpPr>
          </xdr:nvSpPr>
          <xdr:spPr>
            <a:xfrm>
              <a:off x="13661332" y="5783036"/>
              <a:ext cx="3823847" cy="1592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2719</xdr:colOff>
      <xdr:row>42</xdr:row>
      <xdr:rowOff>45720</xdr:rowOff>
    </xdr:from>
    <xdr:to>
      <xdr:col>31</xdr:col>
      <xdr:colOff>0</xdr:colOff>
      <xdr:row>48</xdr:row>
      <xdr:rowOff>30480</xdr:rowOff>
    </xdr:to>
    <mc:AlternateContent xmlns:mc="http://schemas.openxmlformats.org/markup-compatibility/2006" xmlns:a14="http://schemas.microsoft.com/office/drawing/2010/main">
      <mc:Choice Requires="a14">
        <xdr:graphicFrame macro="">
          <xdr:nvGraphicFramePr>
            <xdr:cNvPr id="18" name="Status 1">
              <a:extLst>
                <a:ext uri="{FF2B5EF4-FFF2-40B4-BE49-F238E27FC236}">
                  <a16:creationId xmlns:a16="http://schemas.microsoft.com/office/drawing/2014/main" id="{500A21BC-6A19-408C-AD4D-5E748836662D}"/>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3647962" y="7375072"/>
              <a:ext cx="3837217" cy="7483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13368</xdr:colOff>
      <xdr:row>48</xdr:row>
      <xdr:rowOff>13609</xdr:rowOff>
    </xdr:from>
    <xdr:to>
      <xdr:col>31</xdr:col>
      <xdr:colOff>0</xdr:colOff>
      <xdr:row>53</xdr:row>
      <xdr:rowOff>12915</xdr:rowOff>
    </xdr:to>
    <mc:AlternateContent xmlns:mc="http://schemas.openxmlformats.org/markup-compatibility/2006" xmlns:a14="http://schemas.microsoft.com/office/drawing/2010/main">
      <mc:Choice Requires="a14">
        <xdr:graphicFrame macro="">
          <xdr:nvGraphicFramePr>
            <xdr:cNvPr id="19" name="Gender 1">
              <a:extLst>
                <a:ext uri="{FF2B5EF4-FFF2-40B4-BE49-F238E27FC236}">
                  <a16:creationId xmlns:a16="http://schemas.microsoft.com/office/drawing/2014/main" id="{43C1B64B-7C0A-4730-AB30-C80EB5BCE8C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3607448" y="10163449"/>
              <a:ext cx="3827112" cy="11575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13368</xdr:colOff>
      <xdr:row>12</xdr:row>
      <xdr:rowOff>0</xdr:rowOff>
    </xdr:from>
    <xdr:to>
      <xdr:col>31</xdr:col>
      <xdr:colOff>0</xdr:colOff>
      <xdr:row>17</xdr:row>
      <xdr:rowOff>0</xdr:rowOff>
    </xdr:to>
    <xdr:sp macro="" textlink="">
      <xdr:nvSpPr>
        <xdr:cNvPr id="20" name="Callout: Down Arrow 19">
          <a:extLst>
            <a:ext uri="{FF2B5EF4-FFF2-40B4-BE49-F238E27FC236}">
              <a16:creationId xmlns:a16="http://schemas.microsoft.com/office/drawing/2014/main" id="{C0D11CE2-F444-4448-8739-68638B3B4BFD}"/>
            </a:ext>
          </a:extLst>
        </xdr:cNvPr>
        <xdr:cNvSpPr/>
      </xdr:nvSpPr>
      <xdr:spPr>
        <a:xfrm>
          <a:off x="13661332" y="1660071"/>
          <a:ext cx="3823847" cy="898072"/>
        </a:xfrm>
        <a:prstGeom prst="downArrowCallou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US" sz="3600"/>
            <a:t>Slicers</a:t>
          </a:r>
        </a:p>
      </xdr:txBody>
    </xdr:sp>
    <xdr:clientData/>
  </xdr:twoCellAnchor>
  <xdr:twoCellAnchor>
    <xdr:from>
      <xdr:col>31</xdr:col>
      <xdr:colOff>15240</xdr:colOff>
      <xdr:row>3</xdr:row>
      <xdr:rowOff>76200</xdr:rowOff>
    </xdr:from>
    <xdr:to>
      <xdr:col>35</xdr:col>
      <xdr:colOff>15240</xdr:colOff>
      <xdr:row>9</xdr:row>
      <xdr:rowOff>152400</xdr:rowOff>
    </xdr:to>
    <xdr:sp macro="" textlink="">
      <xdr:nvSpPr>
        <xdr:cNvPr id="3" name="Flowchart: Terminator 2">
          <a:extLst>
            <a:ext uri="{FF2B5EF4-FFF2-40B4-BE49-F238E27FC236}">
              <a16:creationId xmlns:a16="http://schemas.microsoft.com/office/drawing/2014/main" id="{13E2FF66-DE6B-4FB7-91C5-96D2D6C385F0}"/>
            </a:ext>
          </a:extLst>
        </xdr:cNvPr>
        <xdr:cNvSpPr/>
      </xdr:nvSpPr>
      <xdr:spPr>
        <a:xfrm>
          <a:off x="17449800" y="76200"/>
          <a:ext cx="5090160" cy="1219200"/>
        </a:xfrm>
        <a:prstGeom prst="flowChartTerminator">
          <a:avLst/>
        </a:prstGeom>
        <a:ln w="38100">
          <a:solidFill>
            <a:schemeClr val="tx1"/>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6000"/>
            <a:t>Summary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hanth Reddy" refreshedDate="46168.923836574075" createdVersion="7" refreshedVersion="7" minRefreshableVersion="3" recordCount="166" xr:uid="{BEF68787-0AA8-457B-992E-91FCCF28D538}">
  <cacheSource type="worksheet">
    <worksheetSource name="Tbl_Emp"/>
  </cacheSource>
  <cacheFields count="20">
    <cacheField name="EmpCode" numFmtId="0">
      <sharedItems count="166">
        <s v="8"/>
        <s v="761"/>
        <s v="446"/>
        <s v="781"/>
        <s v="782"/>
        <s v="765"/>
        <s v="770"/>
        <s v="771"/>
        <s v="772"/>
        <s v="774"/>
        <s v="603"/>
        <s v="110"/>
        <s v="138"/>
        <s v="704"/>
        <s v="710"/>
        <s v="152"/>
        <s v="719"/>
        <s v="176"/>
        <s v="725"/>
        <s v="186"/>
        <s v="2"/>
        <s v="454"/>
        <s v="345"/>
        <s v="294"/>
        <s v="207"/>
        <s v="231"/>
        <s v="233"/>
        <s v="262"/>
        <s v="265"/>
        <s v="277"/>
        <s v="303"/>
        <s v="328"/>
        <s v="344"/>
        <s v="363"/>
        <s v="395"/>
        <s v="448"/>
        <s v="449"/>
        <s v="471"/>
        <s v="472"/>
        <s v="480"/>
        <s v="486"/>
        <s v="488"/>
        <s v="533"/>
        <s v="699"/>
        <s v="550"/>
        <s v="604"/>
        <s v="568"/>
        <s v="810"/>
        <s v="58"/>
        <s v="621"/>
        <s v="653"/>
        <s v="66"/>
        <s v="674"/>
        <s v="678"/>
        <s v="763"/>
        <s v="692"/>
        <s v="749"/>
        <s v="696"/>
        <s v="753"/>
        <s v="702"/>
        <s v="720"/>
        <s v="727"/>
        <s v="736"/>
        <s v="758"/>
        <s v="788"/>
        <s v="809"/>
        <s v="185"/>
        <s v="586"/>
        <s v="731"/>
        <s v="746"/>
        <s v="764"/>
        <s v="767"/>
        <s v="776"/>
        <s v="141"/>
        <s v="143"/>
        <s v="711"/>
        <s v="641"/>
        <s v="700"/>
        <s v="717"/>
        <s v="730"/>
        <s v="769"/>
        <s v="766"/>
        <s v="778"/>
        <s v="518"/>
        <s v="497"/>
        <s v="626"/>
        <s v="130"/>
        <s v="660"/>
        <s v="659"/>
        <s v="732"/>
        <s v="755"/>
        <s v="421"/>
        <s v="425"/>
        <s v="263"/>
        <s v="405"/>
        <s v="408"/>
        <s v="410"/>
        <s v="413"/>
        <s v="499"/>
        <s v="534"/>
        <s v="541"/>
        <s v="545"/>
        <s v="565"/>
        <s v="588"/>
        <s v="598"/>
        <s v="612"/>
        <s v="614"/>
        <s v="620"/>
        <s v="624"/>
        <s v="625"/>
        <s v="64"/>
        <s v="650"/>
        <s v="661"/>
        <s v="670"/>
        <s v="673"/>
        <s v="676"/>
        <s v="685"/>
        <s v="806"/>
        <s v="686"/>
        <s v="705"/>
        <s v="706"/>
        <s v="721"/>
        <s v="723"/>
        <s v="728"/>
        <s v="743"/>
        <s v="747"/>
        <s v="768"/>
        <s v="779"/>
        <s v="780"/>
        <s v="775"/>
        <s v="807"/>
        <s v="811"/>
        <s v="812"/>
        <s v="813"/>
        <s v="784"/>
        <s v="786"/>
        <s v="789"/>
        <s v="800"/>
        <s v="799"/>
        <s v="792"/>
        <s v="793"/>
        <s v="794"/>
        <s v="795"/>
        <s v="796"/>
        <s v="797"/>
        <s v="802"/>
        <s v="803"/>
        <s v="816"/>
        <s v="808"/>
        <s v="785"/>
        <s v="790"/>
        <s v="787"/>
        <s v="791"/>
        <s v="801"/>
        <s v="805"/>
        <s v="814"/>
        <s v="320"/>
        <s v="777"/>
        <s v="735"/>
        <s v="756"/>
        <s v="757"/>
        <s v="301"/>
        <s v="584"/>
        <s v="677"/>
        <s v="750"/>
        <s v="798"/>
      </sharedItems>
    </cacheField>
    <cacheField name="RO Emp Code" numFmtId="0">
      <sharedItems/>
    </cacheField>
    <cacheField name="Gender" numFmtId="0">
      <sharedItems count="2">
        <s v="Male"/>
        <s v="Female"/>
      </sharedItems>
    </cacheField>
    <cacheField name="JoiningDate" numFmtId="164">
      <sharedItems containsSemiMixedTypes="0" containsNonDate="0" containsDate="1" containsString="0" minDate="1992-10-24T00:00:00" maxDate="2017-03-17T00:00:00"/>
    </cacheField>
    <cacheField name="Nationality" numFmtId="0">
      <sharedItems/>
    </cacheField>
    <cacheField name="BirthDate" numFmtId="164">
      <sharedItems containsSemiMixedTypes="0" containsNonDate="0" containsDate="1" containsString="0" minDate="1949-02-10T00:00:00" maxDate="1999-06-20T00:00:00"/>
    </cacheField>
    <cacheField name="Marital Status" numFmtId="0">
      <sharedItems count="3">
        <s v="Married"/>
        <s v="Single"/>
        <s v="Divorced"/>
      </sharedItems>
    </cacheField>
    <cacheField name="Grade" numFmtId="0">
      <sharedItems/>
    </cacheField>
    <cacheField name="Status" numFmtId="0">
      <sharedItems count="2">
        <s v="Active"/>
        <s v="In Active"/>
      </sharedItems>
    </cacheField>
    <cacheField name="Employment Status" numFmtId="0">
      <sharedItems count="5">
        <s v="Confirmed"/>
        <s v="Probation"/>
        <s v="Resigned"/>
        <s v="Terminated"/>
        <s v="Retired"/>
      </sharedItems>
    </cacheField>
    <cacheField name="LastWorking Date" numFmtId="0">
      <sharedItems containsDate="1" containsMixedTypes="1" minDate="2016-07-16T00:00:00" maxDate="2017-03-01T00:00:00" count="11">
        <s v=""/>
        <d v="2017-02-28T00:00:00"/>
        <d v="2016-10-31T00:00:00"/>
        <d v="2016-10-17T00:00:00"/>
        <d v="2016-07-16T00:00:00"/>
        <d v="2016-11-04T00:00:00"/>
        <d v="2016-12-18T00:00:00"/>
        <d v="2016-12-21T00:00:00"/>
        <d v="2016-11-30T00:00:00"/>
        <d v="2016-10-14T00:00:00"/>
        <d v="2016-12-06T00:00:00"/>
      </sharedItems>
    </cacheField>
    <cacheField name="Department" numFmtId="0">
      <sharedItems count="5">
        <s v="Accounts"/>
        <s v="Sales"/>
        <s v="Operations"/>
        <s v="IT"/>
        <s v="Contracting"/>
      </sharedItems>
    </cacheField>
    <cacheField name="Employee" numFmtId="0">
      <sharedItems count="166">
        <s v="Rufus Winters"/>
        <s v="Woodrow Eaton"/>
        <s v="Leland Abbott"/>
        <s v="Levi Kline"/>
        <s v="Marcos Jacobson"/>
        <s v="Al Beasley"/>
        <s v="Gustavo Zamora"/>
        <s v="Jake Macdonald"/>
        <s v="Lionel Vance"/>
        <s v="Marty Snow"/>
        <s v="Darrel Hensley"/>
        <s v="Isaac Montoya"/>
        <s v="Cleveland Cardenas"/>
        <s v="Sheldon Golden"/>
        <s v="Erick Walter"/>
        <s v="Lamont Wilkins"/>
        <s v="Doyle Rich"/>
        <s v="Dexter Hoover"/>
        <s v="Stewart Suarez"/>
        <s v="Efrain Underwood"/>
        <s v="Billie Short"/>
        <s v="Elias Sweeney"/>
        <s v="Elbert Skinner"/>
        <s v="Noah Rivas"/>
        <s v="Clay Wilcox"/>
        <s v="Garland Carey"/>
        <s v="Miles Clayton"/>
        <s v="Micah Poole"/>
        <s v="Lamar Gallegos"/>
        <s v="Rolando Greer"/>
        <s v="Louie Franco"/>
        <s v="Merle Pittman"/>
        <s v="Logan Randall"/>
        <s v="Bradford Wilkinson"/>
        <s v="Vicente Kirby"/>
        <s v="Grady Charles"/>
        <s v="Otto Allison"/>
        <s v="Carroll Atkinson"/>
        <s v="Terrell Horn"/>
        <s v="Moses Jefferson"/>
        <s v="Irvin Rosales"/>
        <s v="Stephan York"/>
        <s v="Rocky Bond"/>
        <s v="Cornelius Russo"/>
        <s v="Dewayne Gates"/>
        <s v="Phil Atkins"/>
        <s v="Abel Mathews"/>
        <s v="Julian Bullock"/>
        <s v="Virgil Hodge"/>
        <s v="Winston Shields"/>
        <s v="Aubrey Camacho"/>
        <s v="Boyd Parrish"/>
        <s v="Freddy Berg"/>
        <s v="Andy Savage"/>
        <s v="Ross Clay"/>
        <s v="Emilio Salas"/>
        <s v="Tommie Henson"/>
        <s v="Elijah Marks"/>
        <s v="Darrin Dyer"/>
        <s v="Humberto Baxter"/>
        <s v="Roman Humphrey"/>
        <s v="Rodger Hobbs"/>
        <s v="Clark Khan"/>
        <s v="Darnell Tanner"/>
        <s v="Ethan Prince"/>
        <s v="Byron Whitehead"/>
        <s v="Loretta Nicholson"/>
        <s v="Victoria Trevino"/>
        <s v="Katie Ibarra"/>
        <s v="Josephine Ware"/>
        <s v="Thelma Barron"/>
        <s v="Wilfred Small"/>
        <s v="Taylor Stafford"/>
        <s v="Morris Fuentes"/>
        <s v="Pierre Weiss"/>
        <s v="Frankie Mcdowell"/>
        <s v="Bret Cline"/>
        <s v="Harley Sawyer"/>
        <s v="Jess Wiley"/>
        <s v="Junior Gilmore"/>
        <s v="Emmett Wu"/>
        <s v="Reynaldo Oneal"/>
        <s v="Holly Barry"/>
        <s v="Bert Dickerson"/>
        <s v="Rogelio Phelps"/>
        <s v="Terence Grimes"/>
        <s v="Percy Roth"/>
        <s v="Santiago Oneill"/>
        <s v="Alonzo Dillon"/>
        <s v="Josh Keith"/>
        <s v="Ignacio Mcclure"/>
        <s v="Ramiro Bradford"/>
        <s v="Conrad Boone"/>
        <s v="Pat Calderon"/>
        <s v="Darin Kirk"/>
        <s v="Amos Bruce"/>
        <s v="Eldon Singleton"/>
        <s v="Dominick Mathis"/>
        <s v="Van Farrell"/>
        <s v="Saul Wyatt"/>
        <s v="Clifton Foley"/>
        <s v="Willard Chase"/>
        <s v="Will Vincent"/>
        <s v="Morgan Villarreal"/>
        <s v="Jeanette Heath"/>
        <s v="Shannon Huffman"/>
        <s v="Laurie Roy"/>
        <s v="Trent Boyer"/>
        <s v="Brendan Lin"/>
        <s v="Toby Hancock"/>
        <s v="Domingo Glenn"/>
        <s v="Santos Delacruz"/>
        <s v="Cary Melton"/>
        <s v="Simon Booth"/>
        <s v="Marshall Kane"/>
        <s v="Emanuel Harrell"/>
        <s v="Courtney Wiggins"/>
        <s v="Daryl Strong"/>
        <s v="Jan Brennan"/>
        <s v="Brittany Hutchinson"/>
        <s v="Demetrius Liu"/>
        <s v="Irving Johns"/>
        <s v="Edmond Koch"/>
        <s v="Yolanda Beard"/>
        <s v="Randal Andrade"/>
        <s v="Edith Stephenson"/>
        <s v="Teddy Preston"/>
        <s v="Kim English"/>
        <s v="Sherry Shannon"/>
        <s v="Salvador Mcclain"/>
        <s v="Kirk Conway"/>
        <s v="Johnnie Escobar"/>
        <s v="Sidney Knox"/>
        <s v="Grace Meadows"/>
        <s v="Kristopher Woodard"/>
        <s v="Mack Kemp"/>
        <s v="Gilberto Merritt"/>
        <s v="Dallas Barrera"/>
        <s v="Dewey Valenzuela"/>
        <s v="Clint Roach"/>
        <s v="Nicolas Nolan"/>
        <s v="Laurence Lam"/>
        <s v="Ismael Yoder"/>
        <s v="Orville Mccullough"/>
        <s v="Drew Lester"/>
        <s v="Jody Leach"/>
        <s v="Ervin Berger"/>
        <s v="WALLY MULLIN"/>
        <s v="Wendy Stein"/>
        <s v="Emil Huang"/>
        <s v="Emmanuel Hurst"/>
        <s v="Roberta Mosley"/>
        <s v="Kristen Villanueva"/>
        <s v="Heath Orr"/>
        <s v="Sylvia Mckee"/>
        <s v="Sergio Solomon"/>
        <s v="Sammy Larsen"/>
        <s v="Ellis Orozco"/>
        <s v="Hugo Macias"/>
        <s v="Caleb Blackwell"/>
        <s v="Tomas Mercado"/>
        <s v="Melanie Combs"/>
        <s v="Marlon Garrison"/>
        <s v="Jerald Pitts"/>
        <s v="Timmy Wilkerson"/>
        <s v="Perry Santana"/>
      </sharedItems>
    </cacheField>
    <cacheField name="Reporting Officer" numFmtId="0">
      <sharedItems count="13">
        <s v=""/>
        <s v="Eduardo Hill"/>
        <s v="Loretta Nicholson"/>
        <s v="Efrain Underwood"/>
        <s v="Logan Randall"/>
        <s v="Woodrow Eaton"/>
        <s v="Rufus Winters"/>
        <s v="Micah Poole"/>
        <s v="Rodger Hobbs"/>
        <s v="Kirk Conway"/>
        <s v="Laurie Roy"/>
        <s v="Heath Orr"/>
        <s v="Morgan Villarreal"/>
      </sharedItems>
    </cacheField>
    <cacheField name="Grade Name" numFmtId="0">
      <sharedItems count="9">
        <s v="Chief Manager"/>
        <s v="Sr. Manager"/>
        <s v="Sr. Supervisor"/>
        <s v="Workers"/>
        <s v="Sr. Executive"/>
        <s v="Executive"/>
        <s v="Asst.Manager"/>
        <s v="Manager"/>
        <s v="Supervisor"/>
      </sharedItems>
    </cacheField>
    <cacheField name="Level Name" numFmtId="0">
      <sharedItems count="2">
        <s v="Management"/>
        <s v="Non Management"/>
      </sharedItems>
    </cacheField>
    <cacheField name="Age Group" numFmtId="0">
      <sharedItems count="7">
        <s v="Above 50"/>
        <s v="36-40"/>
        <s v="41-45"/>
        <s v="31-35"/>
        <s v="26-30"/>
        <s v="46-50"/>
        <s v="&lt;=25"/>
      </sharedItems>
    </cacheField>
    <cacheField name="Service" numFmtId="0">
      <sharedItems count="5">
        <s v="Above 10"/>
        <s v="1-3"/>
        <s v="5-10"/>
        <s v="3-5"/>
        <s v="&lt;1"/>
      </sharedItems>
    </cacheField>
    <cacheField name="Year of Joining" numFmtId="0">
      <sharedItems containsSemiMixedTypes="0" containsString="0" containsNumber="1" containsInteger="1" minValue="1992" maxValue="2017" count="24">
        <n v="1996"/>
        <n v="2014"/>
        <n v="2006"/>
        <n v="2015"/>
        <n v="2010"/>
        <n v="2013"/>
        <n v="1997"/>
        <n v="1995"/>
        <n v="2004"/>
        <n v="2002"/>
        <n v="1998"/>
        <n v="1999"/>
        <n v="2000"/>
        <n v="2001"/>
        <n v="2005"/>
        <n v="2007"/>
        <n v="2008"/>
        <n v="2012"/>
        <n v="2009"/>
        <n v="2016"/>
        <n v="2011"/>
        <n v="1992"/>
        <n v="2017"/>
        <n v="2003"/>
      </sharedItems>
    </cacheField>
    <cacheField name="Month of Joining" numFmtId="0">
      <sharedItems/>
    </cacheField>
  </cacheFields>
  <extLst>
    <ext xmlns:x14="http://schemas.microsoft.com/office/spreadsheetml/2009/9/main" uri="{725AE2AE-9491-48be-B2B4-4EB974FC3084}">
      <x14:pivotCacheDefinition pivotCacheId="7816797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6">
  <r>
    <x v="0"/>
    <s v="1"/>
    <x v="0"/>
    <d v="1996-01-04T00:00:00"/>
    <s v="India"/>
    <d v="1956-04-24T00:00:00"/>
    <x v="0"/>
    <s v="GCOT11"/>
    <x v="0"/>
    <x v="0"/>
    <x v="0"/>
    <x v="0"/>
    <x v="0"/>
    <x v="0"/>
    <x v="0"/>
    <x v="0"/>
    <x v="0"/>
    <x v="0"/>
    <x v="0"/>
    <s v="Jan"/>
  </r>
  <r>
    <x v="1"/>
    <s v="100164"/>
    <x v="0"/>
    <d v="2014-12-01T00:00:00"/>
    <s v="India"/>
    <d v="1954-09-14T00:00:00"/>
    <x v="0"/>
    <s v="GCOT09"/>
    <x v="0"/>
    <x v="0"/>
    <x v="0"/>
    <x v="1"/>
    <x v="1"/>
    <x v="1"/>
    <x v="1"/>
    <x v="0"/>
    <x v="0"/>
    <x v="1"/>
    <x v="1"/>
    <s v="Dec"/>
  </r>
  <r>
    <x v="2"/>
    <s v="185"/>
    <x v="0"/>
    <d v="2006-03-09T00:00:00"/>
    <s v="India"/>
    <d v="1980-05-15T00:00:00"/>
    <x v="0"/>
    <s v="GCOT06"/>
    <x v="0"/>
    <x v="0"/>
    <x v="0"/>
    <x v="1"/>
    <x v="2"/>
    <x v="2"/>
    <x v="2"/>
    <x v="1"/>
    <x v="1"/>
    <x v="0"/>
    <x v="2"/>
    <s v="Mar"/>
  </r>
  <r>
    <x v="3"/>
    <s v="186"/>
    <x v="0"/>
    <d v="2015-09-15T00:00:00"/>
    <s v="India"/>
    <d v="1972-05-20T00:00:00"/>
    <x v="0"/>
    <s v="GCOT02"/>
    <x v="0"/>
    <x v="0"/>
    <x v="0"/>
    <x v="2"/>
    <x v="3"/>
    <x v="3"/>
    <x v="3"/>
    <x v="1"/>
    <x v="2"/>
    <x v="1"/>
    <x v="3"/>
    <s v="Sep"/>
  </r>
  <r>
    <x v="4"/>
    <s v="186"/>
    <x v="0"/>
    <d v="2015-09-30T00:00:00"/>
    <s v="India"/>
    <d v="1983-05-20T00:00:00"/>
    <x v="0"/>
    <s v="GCOT02"/>
    <x v="0"/>
    <x v="0"/>
    <x v="0"/>
    <x v="2"/>
    <x v="4"/>
    <x v="3"/>
    <x v="3"/>
    <x v="1"/>
    <x v="3"/>
    <x v="1"/>
    <x v="3"/>
    <s v="Sep"/>
  </r>
  <r>
    <x v="5"/>
    <s v="186"/>
    <x v="0"/>
    <d v="2015-02-01T00:00:00"/>
    <s v="India"/>
    <d v="1960-04-23T00:00:00"/>
    <x v="0"/>
    <s v="GCOT06"/>
    <x v="0"/>
    <x v="0"/>
    <x v="0"/>
    <x v="2"/>
    <x v="5"/>
    <x v="3"/>
    <x v="2"/>
    <x v="1"/>
    <x v="0"/>
    <x v="1"/>
    <x v="3"/>
    <s v="Feb"/>
  </r>
  <r>
    <x v="6"/>
    <s v="186"/>
    <x v="0"/>
    <d v="2015-07-05T00:00:00"/>
    <s v="India"/>
    <d v="1988-07-07T00:00:00"/>
    <x v="0"/>
    <s v="GCOT04"/>
    <x v="0"/>
    <x v="0"/>
    <x v="0"/>
    <x v="2"/>
    <x v="6"/>
    <x v="3"/>
    <x v="4"/>
    <x v="1"/>
    <x v="4"/>
    <x v="1"/>
    <x v="3"/>
    <s v="Jul"/>
  </r>
  <r>
    <x v="7"/>
    <s v="186"/>
    <x v="0"/>
    <d v="2015-08-13T00:00:00"/>
    <s v="India"/>
    <d v="1976-02-02T00:00:00"/>
    <x v="0"/>
    <s v="GCOT02"/>
    <x v="0"/>
    <x v="0"/>
    <x v="0"/>
    <x v="2"/>
    <x v="7"/>
    <x v="3"/>
    <x v="3"/>
    <x v="1"/>
    <x v="2"/>
    <x v="1"/>
    <x v="3"/>
    <s v="Aug"/>
  </r>
  <r>
    <x v="8"/>
    <s v="186"/>
    <x v="0"/>
    <d v="2015-08-13T00:00:00"/>
    <s v="India"/>
    <d v="1976-03-10T00:00:00"/>
    <x v="0"/>
    <s v="GCOT02"/>
    <x v="0"/>
    <x v="0"/>
    <x v="0"/>
    <x v="2"/>
    <x v="8"/>
    <x v="3"/>
    <x v="3"/>
    <x v="1"/>
    <x v="2"/>
    <x v="1"/>
    <x v="3"/>
    <s v="Aug"/>
  </r>
  <r>
    <x v="9"/>
    <s v="186"/>
    <x v="0"/>
    <d v="2015-08-21T00:00:00"/>
    <s v="India"/>
    <d v="1973-05-23T00:00:00"/>
    <x v="0"/>
    <s v="GCOT02"/>
    <x v="0"/>
    <x v="0"/>
    <x v="0"/>
    <x v="2"/>
    <x v="9"/>
    <x v="3"/>
    <x v="3"/>
    <x v="1"/>
    <x v="2"/>
    <x v="1"/>
    <x v="3"/>
    <s v="Aug"/>
  </r>
  <r>
    <x v="10"/>
    <s v="186"/>
    <x v="0"/>
    <d v="2010-07-25T00:00:00"/>
    <s v="India"/>
    <d v="1978-01-08T00:00:00"/>
    <x v="0"/>
    <s v="GCOT06"/>
    <x v="0"/>
    <x v="0"/>
    <x v="0"/>
    <x v="2"/>
    <x v="10"/>
    <x v="3"/>
    <x v="2"/>
    <x v="1"/>
    <x v="1"/>
    <x v="2"/>
    <x v="4"/>
    <s v="Jul"/>
  </r>
  <r>
    <x v="11"/>
    <s v="344"/>
    <x v="0"/>
    <d v="2013-06-30T00:00:00"/>
    <s v="India"/>
    <d v="1949-02-10T00:00:00"/>
    <x v="0"/>
    <s v="GCOT02"/>
    <x v="0"/>
    <x v="0"/>
    <x v="0"/>
    <x v="3"/>
    <x v="11"/>
    <x v="4"/>
    <x v="3"/>
    <x v="1"/>
    <x v="0"/>
    <x v="3"/>
    <x v="5"/>
    <s v="Jun"/>
  </r>
  <r>
    <x v="12"/>
    <s v="761"/>
    <x v="0"/>
    <d v="1996-12-28T00:00:00"/>
    <s v="India"/>
    <d v="1972-05-14T00:00:00"/>
    <x v="0"/>
    <s v="GCOT06"/>
    <x v="0"/>
    <x v="0"/>
    <x v="0"/>
    <x v="0"/>
    <x v="12"/>
    <x v="5"/>
    <x v="2"/>
    <x v="1"/>
    <x v="2"/>
    <x v="0"/>
    <x v="0"/>
    <s v="Dec"/>
  </r>
  <r>
    <x v="13"/>
    <s v="186"/>
    <x v="0"/>
    <d v="2013-05-05T00:00:00"/>
    <s v="India"/>
    <d v="1985-05-19T00:00:00"/>
    <x v="0"/>
    <s v="GCOT03"/>
    <x v="0"/>
    <x v="0"/>
    <x v="0"/>
    <x v="2"/>
    <x v="13"/>
    <x v="3"/>
    <x v="5"/>
    <x v="1"/>
    <x v="3"/>
    <x v="3"/>
    <x v="5"/>
    <s v="May"/>
  </r>
  <r>
    <x v="14"/>
    <s v="186"/>
    <x v="0"/>
    <d v="2013-06-15T00:00:00"/>
    <s v="India"/>
    <d v="1985-05-25T00:00:00"/>
    <x v="0"/>
    <s v="GCOT04"/>
    <x v="0"/>
    <x v="0"/>
    <x v="0"/>
    <x v="2"/>
    <x v="14"/>
    <x v="3"/>
    <x v="4"/>
    <x v="1"/>
    <x v="3"/>
    <x v="3"/>
    <x v="5"/>
    <s v="Jun"/>
  </r>
  <r>
    <x v="15"/>
    <s v="761"/>
    <x v="0"/>
    <d v="1997-05-06T00:00:00"/>
    <s v="India"/>
    <d v="1966-11-29T00:00:00"/>
    <x v="0"/>
    <s v="GCOT07"/>
    <x v="0"/>
    <x v="0"/>
    <x v="0"/>
    <x v="0"/>
    <x v="15"/>
    <x v="5"/>
    <x v="6"/>
    <x v="0"/>
    <x v="5"/>
    <x v="0"/>
    <x v="6"/>
    <s v="May"/>
  </r>
  <r>
    <x v="16"/>
    <s v="186"/>
    <x v="0"/>
    <d v="2013-10-12T00:00:00"/>
    <s v="India"/>
    <d v="1957-05-01T00:00:00"/>
    <x v="0"/>
    <s v="GCOT02"/>
    <x v="0"/>
    <x v="0"/>
    <x v="0"/>
    <x v="2"/>
    <x v="16"/>
    <x v="3"/>
    <x v="3"/>
    <x v="1"/>
    <x v="0"/>
    <x v="3"/>
    <x v="5"/>
    <s v="Oct"/>
  </r>
  <r>
    <x v="17"/>
    <s v="344"/>
    <x v="0"/>
    <d v="1997-10-04T00:00:00"/>
    <s v="India"/>
    <d v="1951-06-02T00:00:00"/>
    <x v="0"/>
    <s v="GCOT04"/>
    <x v="0"/>
    <x v="0"/>
    <x v="0"/>
    <x v="2"/>
    <x v="17"/>
    <x v="4"/>
    <x v="4"/>
    <x v="1"/>
    <x v="0"/>
    <x v="0"/>
    <x v="6"/>
    <s v="Oct"/>
  </r>
  <r>
    <x v="18"/>
    <s v="186"/>
    <x v="0"/>
    <d v="2013-11-19T00:00:00"/>
    <s v="India"/>
    <d v="1971-02-19T00:00:00"/>
    <x v="0"/>
    <s v="GCOT02"/>
    <x v="0"/>
    <x v="0"/>
    <x v="0"/>
    <x v="2"/>
    <x v="18"/>
    <x v="3"/>
    <x v="3"/>
    <x v="1"/>
    <x v="5"/>
    <x v="3"/>
    <x v="5"/>
    <s v="Nov"/>
  </r>
  <r>
    <x v="19"/>
    <s v="8"/>
    <x v="0"/>
    <d v="1997-12-03T00:00:00"/>
    <s v="India"/>
    <d v="1966-06-24T00:00:00"/>
    <x v="0"/>
    <s v="GCOT08"/>
    <x v="0"/>
    <x v="0"/>
    <x v="0"/>
    <x v="1"/>
    <x v="19"/>
    <x v="6"/>
    <x v="7"/>
    <x v="0"/>
    <x v="5"/>
    <x v="0"/>
    <x v="6"/>
    <s v="Dec"/>
  </r>
  <r>
    <x v="20"/>
    <s v="8"/>
    <x v="0"/>
    <d v="1995-09-01T00:00:00"/>
    <s v="India"/>
    <d v="1969-05-29T00:00:00"/>
    <x v="0"/>
    <s v="GCOT08"/>
    <x v="0"/>
    <x v="0"/>
    <x v="0"/>
    <x v="1"/>
    <x v="20"/>
    <x v="6"/>
    <x v="7"/>
    <x v="0"/>
    <x v="5"/>
    <x v="0"/>
    <x v="7"/>
    <s v="Sep"/>
  </r>
  <r>
    <x v="21"/>
    <s v="186"/>
    <x v="0"/>
    <d v="2006-06-23T00:00:00"/>
    <s v="India"/>
    <d v="1980-11-04T00:00:00"/>
    <x v="0"/>
    <s v="GCOT03"/>
    <x v="0"/>
    <x v="0"/>
    <x v="0"/>
    <x v="2"/>
    <x v="21"/>
    <x v="3"/>
    <x v="5"/>
    <x v="1"/>
    <x v="1"/>
    <x v="0"/>
    <x v="2"/>
    <s v="Jun"/>
  </r>
  <r>
    <x v="22"/>
    <s v="186"/>
    <x v="0"/>
    <d v="2004-07-10T00:00:00"/>
    <s v="India"/>
    <d v="1959-05-10T00:00:00"/>
    <x v="0"/>
    <s v="GCOT02"/>
    <x v="0"/>
    <x v="0"/>
    <x v="0"/>
    <x v="2"/>
    <x v="22"/>
    <x v="3"/>
    <x v="3"/>
    <x v="1"/>
    <x v="0"/>
    <x v="0"/>
    <x v="8"/>
    <s v="Jul"/>
  </r>
  <r>
    <x v="23"/>
    <s v="186"/>
    <x v="0"/>
    <d v="2002-05-08T00:00:00"/>
    <s v="India"/>
    <d v="1964-05-23T00:00:00"/>
    <x v="0"/>
    <s v="GCOT02"/>
    <x v="0"/>
    <x v="0"/>
    <x v="0"/>
    <x v="2"/>
    <x v="23"/>
    <x v="3"/>
    <x v="3"/>
    <x v="1"/>
    <x v="0"/>
    <x v="0"/>
    <x v="9"/>
    <s v="May"/>
  </r>
  <r>
    <x v="24"/>
    <s v="344"/>
    <x v="0"/>
    <d v="1998-10-21T00:00:00"/>
    <s v="India"/>
    <d v="1966-06-08T00:00:00"/>
    <x v="0"/>
    <s v="GCOT02"/>
    <x v="0"/>
    <x v="0"/>
    <x v="0"/>
    <x v="3"/>
    <x v="24"/>
    <x v="4"/>
    <x v="3"/>
    <x v="1"/>
    <x v="5"/>
    <x v="0"/>
    <x v="10"/>
    <s v="Oct"/>
  </r>
  <r>
    <x v="25"/>
    <s v="761"/>
    <x v="0"/>
    <d v="1999-11-06T00:00:00"/>
    <s v="India"/>
    <d v="1970-05-27T00:00:00"/>
    <x v="0"/>
    <s v="GCOT08"/>
    <x v="0"/>
    <x v="0"/>
    <x v="0"/>
    <x v="1"/>
    <x v="25"/>
    <x v="5"/>
    <x v="7"/>
    <x v="0"/>
    <x v="5"/>
    <x v="0"/>
    <x v="11"/>
    <s v="Nov"/>
  </r>
  <r>
    <x v="26"/>
    <s v="8"/>
    <x v="0"/>
    <d v="2000-02-19T00:00:00"/>
    <s v="India"/>
    <d v="1975-09-17T00:00:00"/>
    <x v="0"/>
    <s v="GCOT08"/>
    <x v="0"/>
    <x v="0"/>
    <x v="0"/>
    <x v="1"/>
    <x v="26"/>
    <x v="6"/>
    <x v="7"/>
    <x v="0"/>
    <x v="2"/>
    <x v="0"/>
    <x v="12"/>
    <s v="Feb"/>
  </r>
  <r>
    <x v="27"/>
    <s v="8"/>
    <x v="0"/>
    <d v="2001-01-06T00:00:00"/>
    <s v="India"/>
    <d v="1978-03-09T00:00:00"/>
    <x v="0"/>
    <s v="GCOT08"/>
    <x v="0"/>
    <x v="0"/>
    <x v="0"/>
    <x v="1"/>
    <x v="27"/>
    <x v="6"/>
    <x v="7"/>
    <x v="0"/>
    <x v="1"/>
    <x v="0"/>
    <x v="13"/>
    <s v="Jan"/>
  </r>
  <r>
    <x v="28"/>
    <s v="344"/>
    <x v="0"/>
    <d v="2001-01-30T00:00:00"/>
    <s v="India"/>
    <d v="1967-12-24T00:00:00"/>
    <x v="0"/>
    <s v="GCOT02"/>
    <x v="0"/>
    <x v="0"/>
    <x v="0"/>
    <x v="3"/>
    <x v="28"/>
    <x v="4"/>
    <x v="3"/>
    <x v="1"/>
    <x v="5"/>
    <x v="0"/>
    <x v="13"/>
    <s v="Jan"/>
  </r>
  <r>
    <x v="29"/>
    <s v="344"/>
    <x v="0"/>
    <d v="2001-06-20T00:00:00"/>
    <s v="India"/>
    <d v="1965-11-23T00:00:00"/>
    <x v="0"/>
    <s v="GCOT02"/>
    <x v="0"/>
    <x v="0"/>
    <x v="0"/>
    <x v="3"/>
    <x v="29"/>
    <x v="4"/>
    <x v="3"/>
    <x v="1"/>
    <x v="0"/>
    <x v="0"/>
    <x v="13"/>
    <s v="Jun"/>
  </r>
  <r>
    <x v="30"/>
    <s v="761"/>
    <x v="0"/>
    <d v="2002-08-28T00:00:00"/>
    <s v="India"/>
    <d v="1962-05-23T00:00:00"/>
    <x v="0"/>
    <s v="GCOT01"/>
    <x v="0"/>
    <x v="0"/>
    <x v="0"/>
    <x v="0"/>
    <x v="30"/>
    <x v="5"/>
    <x v="3"/>
    <x v="1"/>
    <x v="0"/>
    <x v="0"/>
    <x v="9"/>
    <s v="Aug"/>
  </r>
  <r>
    <x v="31"/>
    <s v="344"/>
    <x v="0"/>
    <d v="2004-03-08T00:00:00"/>
    <s v="India"/>
    <d v="1969-05-16T00:00:00"/>
    <x v="0"/>
    <s v="GCOT03"/>
    <x v="0"/>
    <x v="0"/>
    <x v="0"/>
    <x v="2"/>
    <x v="31"/>
    <x v="4"/>
    <x v="5"/>
    <x v="1"/>
    <x v="5"/>
    <x v="0"/>
    <x v="8"/>
    <s v="Mar"/>
  </r>
  <r>
    <x v="32"/>
    <s v="8"/>
    <x v="0"/>
    <d v="2004-07-10T00:00:00"/>
    <s v="India"/>
    <d v="1973-10-12T00:00:00"/>
    <x v="0"/>
    <s v="GCOT07"/>
    <x v="0"/>
    <x v="0"/>
    <x v="0"/>
    <x v="3"/>
    <x v="32"/>
    <x v="6"/>
    <x v="6"/>
    <x v="0"/>
    <x v="2"/>
    <x v="0"/>
    <x v="8"/>
    <s v="Jul"/>
  </r>
  <r>
    <x v="33"/>
    <s v="344"/>
    <x v="0"/>
    <d v="2004-10-01T00:00:00"/>
    <s v="India"/>
    <d v="1979-05-01T00:00:00"/>
    <x v="0"/>
    <s v="GCOT02"/>
    <x v="0"/>
    <x v="0"/>
    <x v="0"/>
    <x v="3"/>
    <x v="33"/>
    <x v="4"/>
    <x v="3"/>
    <x v="1"/>
    <x v="1"/>
    <x v="0"/>
    <x v="8"/>
    <s v="Oct"/>
  </r>
  <r>
    <x v="34"/>
    <s v="761"/>
    <x v="0"/>
    <d v="2005-06-16T00:00:00"/>
    <s v="India"/>
    <d v="1981-05-30T00:00:00"/>
    <x v="0"/>
    <s v="GCOT06"/>
    <x v="0"/>
    <x v="0"/>
    <x v="0"/>
    <x v="0"/>
    <x v="34"/>
    <x v="5"/>
    <x v="2"/>
    <x v="1"/>
    <x v="3"/>
    <x v="0"/>
    <x v="14"/>
    <s v="Jun"/>
  </r>
  <r>
    <x v="35"/>
    <s v="262"/>
    <x v="0"/>
    <d v="2006-06-13T00:00:00"/>
    <s v="India"/>
    <d v="1983-05-28T00:00:00"/>
    <x v="0"/>
    <s v="GCOT07"/>
    <x v="0"/>
    <x v="0"/>
    <x v="0"/>
    <x v="1"/>
    <x v="35"/>
    <x v="7"/>
    <x v="6"/>
    <x v="0"/>
    <x v="3"/>
    <x v="0"/>
    <x v="2"/>
    <s v="Jun"/>
  </r>
  <r>
    <x v="36"/>
    <s v="727"/>
    <x v="0"/>
    <d v="2006-06-13T00:00:00"/>
    <s v="India"/>
    <d v="1983-05-29T00:00:00"/>
    <x v="0"/>
    <s v="GCOT06"/>
    <x v="0"/>
    <x v="0"/>
    <x v="0"/>
    <x v="1"/>
    <x v="36"/>
    <x v="8"/>
    <x v="2"/>
    <x v="1"/>
    <x v="3"/>
    <x v="0"/>
    <x v="2"/>
    <s v="Jun"/>
  </r>
  <r>
    <x v="37"/>
    <s v="8"/>
    <x v="0"/>
    <d v="2006-10-02T00:00:00"/>
    <s v="India"/>
    <d v="1978-05-25T00:00:00"/>
    <x v="0"/>
    <s v="GCOT08"/>
    <x v="0"/>
    <x v="0"/>
    <x v="0"/>
    <x v="1"/>
    <x v="37"/>
    <x v="6"/>
    <x v="7"/>
    <x v="0"/>
    <x v="1"/>
    <x v="0"/>
    <x v="2"/>
    <s v="Oct"/>
  </r>
  <r>
    <x v="38"/>
    <s v="344"/>
    <x v="0"/>
    <d v="2006-10-05T00:00:00"/>
    <s v="India"/>
    <d v="1967-01-01T00:00:00"/>
    <x v="0"/>
    <s v="GCOT02"/>
    <x v="0"/>
    <x v="0"/>
    <x v="0"/>
    <x v="3"/>
    <x v="38"/>
    <x v="4"/>
    <x v="3"/>
    <x v="1"/>
    <x v="5"/>
    <x v="0"/>
    <x v="2"/>
    <s v="Oct"/>
  </r>
  <r>
    <x v="39"/>
    <s v="344"/>
    <x v="0"/>
    <d v="2006-11-08T00:00:00"/>
    <s v="India"/>
    <d v="1965-05-28T00:00:00"/>
    <x v="0"/>
    <s v="GCOT02"/>
    <x v="0"/>
    <x v="0"/>
    <x v="0"/>
    <x v="3"/>
    <x v="39"/>
    <x v="4"/>
    <x v="3"/>
    <x v="1"/>
    <x v="0"/>
    <x v="0"/>
    <x v="2"/>
    <s v="Nov"/>
  </r>
  <r>
    <x v="40"/>
    <s v="344"/>
    <x v="0"/>
    <d v="2007-01-06T00:00:00"/>
    <s v="India"/>
    <d v="1956-04-03T00:00:00"/>
    <x v="0"/>
    <s v="GCOT02"/>
    <x v="0"/>
    <x v="0"/>
    <x v="0"/>
    <x v="3"/>
    <x v="40"/>
    <x v="4"/>
    <x v="3"/>
    <x v="1"/>
    <x v="0"/>
    <x v="0"/>
    <x v="15"/>
    <s v="Jan"/>
  </r>
  <r>
    <x v="41"/>
    <s v="761"/>
    <x v="0"/>
    <d v="2007-03-05T00:00:00"/>
    <s v="India"/>
    <d v="1972-04-11T00:00:00"/>
    <x v="0"/>
    <s v="GCOT01"/>
    <x v="0"/>
    <x v="0"/>
    <x v="0"/>
    <x v="0"/>
    <x v="41"/>
    <x v="5"/>
    <x v="3"/>
    <x v="1"/>
    <x v="2"/>
    <x v="0"/>
    <x v="15"/>
    <s v="Mar"/>
  </r>
  <r>
    <x v="42"/>
    <s v="807"/>
    <x v="0"/>
    <d v="2008-03-26T00:00:00"/>
    <s v="India"/>
    <d v="1983-04-20T00:00:00"/>
    <x v="0"/>
    <s v="GCOT06"/>
    <x v="0"/>
    <x v="0"/>
    <x v="0"/>
    <x v="4"/>
    <x v="42"/>
    <x v="9"/>
    <x v="2"/>
    <x v="1"/>
    <x v="3"/>
    <x v="2"/>
    <x v="16"/>
    <s v="Mar"/>
  </r>
  <r>
    <x v="43"/>
    <s v="262"/>
    <x v="0"/>
    <d v="2012-12-27T00:00:00"/>
    <s v="India"/>
    <d v="1985-05-25T00:00:00"/>
    <x v="0"/>
    <s v="GCOT04"/>
    <x v="0"/>
    <x v="0"/>
    <x v="0"/>
    <x v="1"/>
    <x v="43"/>
    <x v="7"/>
    <x v="4"/>
    <x v="1"/>
    <x v="3"/>
    <x v="3"/>
    <x v="17"/>
    <s v="Dec"/>
  </r>
  <r>
    <x v="44"/>
    <s v="614"/>
    <x v="0"/>
    <d v="2008-06-25T00:00:00"/>
    <s v="India"/>
    <d v="1976-11-16T00:00:00"/>
    <x v="0"/>
    <s v="GCOT05"/>
    <x v="0"/>
    <x v="0"/>
    <x v="0"/>
    <x v="1"/>
    <x v="44"/>
    <x v="10"/>
    <x v="8"/>
    <x v="1"/>
    <x v="1"/>
    <x v="2"/>
    <x v="16"/>
    <s v="Jun"/>
  </r>
  <r>
    <x v="45"/>
    <s v="262"/>
    <x v="0"/>
    <d v="2010-07-26T00:00:00"/>
    <s v="India"/>
    <d v="1984-03-21T00:00:00"/>
    <x v="0"/>
    <s v="GCOT05"/>
    <x v="0"/>
    <x v="0"/>
    <x v="0"/>
    <x v="1"/>
    <x v="45"/>
    <x v="7"/>
    <x v="8"/>
    <x v="1"/>
    <x v="3"/>
    <x v="2"/>
    <x v="4"/>
    <s v="Jul"/>
  </r>
  <r>
    <x v="46"/>
    <s v="344"/>
    <x v="0"/>
    <d v="2009-05-25T00:00:00"/>
    <s v="India"/>
    <d v="1976-08-07T00:00:00"/>
    <x v="0"/>
    <s v="GCOT02"/>
    <x v="0"/>
    <x v="0"/>
    <x v="0"/>
    <x v="3"/>
    <x v="46"/>
    <x v="4"/>
    <x v="3"/>
    <x v="1"/>
    <x v="1"/>
    <x v="2"/>
    <x v="18"/>
    <s v="May"/>
  </r>
  <r>
    <x v="47"/>
    <s v="262"/>
    <x v="0"/>
    <d v="2016-11-28T00:00:00"/>
    <s v="India"/>
    <d v="1983-05-12T00:00:00"/>
    <x v="0"/>
    <s v="GCOT04"/>
    <x v="0"/>
    <x v="0"/>
    <x v="0"/>
    <x v="1"/>
    <x v="47"/>
    <x v="7"/>
    <x v="4"/>
    <x v="0"/>
    <x v="3"/>
    <x v="4"/>
    <x v="19"/>
    <s v="Nov"/>
  </r>
  <r>
    <x v="48"/>
    <s v="344"/>
    <x v="0"/>
    <d v="2013-07-05T00:00:00"/>
    <s v="India"/>
    <d v="1960-08-03T00:00:00"/>
    <x v="0"/>
    <s v="GCOT02"/>
    <x v="0"/>
    <x v="0"/>
    <x v="0"/>
    <x v="3"/>
    <x v="48"/>
    <x v="4"/>
    <x v="3"/>
    <x v="1"/>
    <x v="0"/>
    <x v="3"/>
    <x v="5"/>
    <s v="Jul"/>
  </r>
  <r>
    <x v="49"/>
    <s v="344"/>
    <x v="0"/>
    <d v="2010-11-16T00:00:00"/>
    <s v="India"/>
    <d v="1975-04-01T00:00:00"/>
    <x v="0"/>
    <s v="GCOT02"/>
    <x v="0"/>
    <x v="0"/>
    <x v="0"/>
    <x v="3"/>
    <x v="49"/>
    <x v="4"/>
    <x v="3"/>
    <x v="1"/>
    <x v="2"/>
    <x v="2"/>
    <x v="4"/>
    <s v="Nov"/>
  </r>
  <r>
    <x v="50"/>
    <s v="344"/>
    <x v="0"/>
    <d v="2011-11-02T00:00:00"/>
    <s v="India"/>
    <d v="1991-08-19T00:00:00"/>
    <x v="0"/>
    <s v="GCOT03"/>
    <x v="0"/>
    <x v="0"/>
    <x v="0"/>
    <x v="3"/>
    <x v="50"/>
    <x v="4"/>
    <x v="5"/>
    <x v="1"/>
    <x v="4"/>
    <x v="2"/>
    <x v="20"/>
    <s v="Nov"/>
  </r>
  <r>
    <x v="51"/>
    <s v="344"/>
    <x v="0"/>
    <d v="1995-09-25T00:00:00"/>
    <s v="India"/>
    <d v="1974-12-10T00:00:00"/>
    <x v="0"/>
    <s v="GCOT03"/>
    <x v="0"/>
    <x v="0"/>
    <x v="0"/>
    <x v="3"/>
    <x v="51"/>
    <x v="4"/>
    <x v="5"/>
    <x v="1"/>
    <x v="2"/>
    <x v="0"/>
    <x v="7"/>
    <s v="Sep"/>
  </r>
  <r>
    <x v="52"/>
    <s v="807"/>
    <x v="0"/>
    <d v="2012-06-27T00:00:00"/>
    <s v="India"/>
    <d v="1981-03-14T00:00:00"/>
    <x v="0"/>
    <s v="GCOT04"/>
    <x v="0"/>
    <x v="0"/>
    <x v="0"/>
    <x v="4"/>
    <x v="52"/>
    <x v="9"/>
    <x v="4"/>
    <x v="1"/>
    <x v="1"/>
    <x v="3"/>
    <x v="17"/>
    <s v="Jun"/>
  </r>
  <r>
    <x v="53"/>
    <s v="344"/>
    <x v="0"/>
    <d v="2012-09-06T00:00:00"/>
    <s v="India"/>
    <d v="1971-05-20T00:00:00"/>
    <x v="0"/>
    <s v="GCOT02"/>
    <x v="0"/>
    <x v="0"/>
    <x v="0"/>
    <x v="3"/>
    <x v="53"/>
    <x v="4"/>
    <x v="3"/>
    <x v="1"/>
    <x v="2"/>
    <x v="3"/>
    <x v="17"/>
    <s v="Sep"/>
  </r>
  <r>
    <x v="54"/>
    <s v="344"/>
    <x v="0"/>
    <d v="2014-11-05T00:00:00"/>
    <s v="India"/>
    <d v="1952-08-25T00:00:00"/>
    <x v="0"/>
    <s v="GCOT02"/>
    <x v="0"/>
    <x v="0"/>
    <x v="0"/>
    <x v="3"/>
    <x v="54"/>
    <x v="4"/>
    <x v="3"/>
    <x v="1"/>
    <x v="0"/>
    <x v="1"/>
    <x v="1"/>
    <s v="Nov"/>
  </r>
  <r>
    <x v="55"/>
    <s v="344"/>
    <x v="0"/>
    <d v="2012-11-22T00:00:00"/>
    <s v="India"/>
    <d v="1969-01-30T00:00:00"/>
    <x v="0"/>
    <s v="GCOT02"/>
    <x v="0"/>
    <x v="0"/>
    <x v="0"/>
    <x v="3"/>
    <x v="55"/>
    <x v="4"/>
    <x v="3"/>
    <x v="1"/>
    <x v="5"/>
    <x v="3"/>
    <x v="17"/>
    <s v="Nov"/>
  </r>
  <r>
    <x v="56"/>
    <s v="344"/>
    <x v="0"/>
    <d v="2014-09-06T00:00:00"/>
    <s v="India"/>
    <d v="1969-03-06T00:00:00"/>
    <x v="0"/>
    <s v="GCOT03"/>
    <x v="0"/>
    <x v="0"/>
    <x v="0"/>
    <x v="3"/>
    <x v="56"/>
    <x v="4"/>
    <x v="5"/>
    <x v="1"/>
    <x v="5"/>
    <x v="1"/>
    <x v="1"/>
    <s v="Sep"/>
  </r>
  <r>
    <x v="57"/>
    <s v="344"/>
    <x v="0"/>
    <d v="2012-12-05T00:00:00"/>
    <s v="India"/>
    <d v="1983-08-19T00:00:00"/>
    <x v="0"/>
    <s v="GCOT01"/>
    <x v="0"/>
    <x v="0"/>
    <x v="0"/>
    <x v="3"/>
    <x v="57"/>
    <x v="4"/>
    <x v="3"/>
    <x v="1"/>
    <x v="3"/>
    <x v="3"/>
    <x v="17"/>
    <s v="Dec"/>
  </r>
  <r>
    <x v="58"/>
    <s v="344"/>
    <x v="0"/>
    <d v="2014-09-23T00:00:00"/>
    <s v="India"/>
    <d v="1968-05-25T00:00:00"/>
    <x v="0"/>
    <s v="GCOT02"/>
    <x v="0"/>
    <x v="0"/>
    <x v="0"/>
    <x v="3"/>
    <x v="58"/>
    <x v="4"/>
    <x v="3"/>
    <x v="1"/>
    <x v="5"/>
    <x v="1"/>
    <x v="1"/>
    <s v="Sep"/>
  </r>
  <r>
    <x v="59"/>
    <s v="761"/>
    <x v="0"/>
    <d v="2013-01-26T00:00:00"/>
    <s v="India"/>
    <d v="1985-01-26T00:00:00"/>
    <x v="0"/>
    <s v="GCOT03"/>
    <x v="0"/>
    <x v="0"/>
    <x v="0"/>
    <x v="0"/>
    <x v="59"/>
    <x v="5"/>
    <x v="5"/>
    <x v="1"/>
    <x v="3"/>
    <x v="3"/>
    <x v="5"/>
    <s v="Jan"/>
  </r>
  <r>
    <x v="60"/>
    <s v="344"/>
    <x v="0"/>
    <d v="2013-10-22T00:00:00"/>
    <s v="India"/>
    <d v="1975-06-01T00:00:00"/>
    <x v="0"/>
    <s v="GCOT02"/>
    <x v="0"/>
    <x v="0"/>
    <x v="0"/>
    <x v="3"/>
    <x v="60"/>
    <x v="4"/>
    <x v="3"/>
    <x v="1"/>
    <x v="2"/>
    <x v="3"/>
    <x v="5"/>
    <s v="Oct"/>
  </r>
  <r>
    <x v="61"/>
    <s v="8"/>
    <x v="0"/>
    <d v="2013-11-19T00:00:00"/>
    <s v="India"/>
    <d v="1970-02-27T00:00:00"/>
    <x v="0"/>
    <s v="GCOT09"/>
    <x v="0"/>
    <x v="0"/>
    <x v="0"/>
    <x v="1"/>
    <x v="61"/>
    <x v="6"/>
    <x v="1"/>
    <x v="0"/>
    <x v="5"/>
    <x v="3"/>
    <x v="5"/>
    <s v="Nov"/>
  </r>
  <r>
    <x v="62"/>
    <s v="761"/>
    <x v="0"/>
    <d v="2013-12-07T00:00:00"/>
    <s v="India"/>
    <d v="1989-01-24T00:00:00"/>
    <x v="0"/>
    <s v="GCOT03"/>
    <x v="0"/>
    <x v="0"/>
    <x v="0"/>
    <x v="0"/>
    <x v="62"/>
    <x v="5"/>
    <x v="5"/>
    <x v="1"/>
    <x v="4"/>
    <x v="3"/>
    <x v="5"/>
    <s v="Dec"/>
  </r>
  <r>
    <x v="63"/>
    <s v="344"/>
    <x v="0"/>
    <d v="2014-10-25T00:00:00"/>
    <s v="India"/>
    <d v="1979-04-01T00:00:00"/>
    <x v="0"/>
    <s v="GCOT02"/>
    <x v="0"/>
    <x v="0"/>
    <x v="0"/>
    <x v="3"/>
    <x v="63"/>
    <x v="4"/>
    <x v="3"/>
    <x v="1"/>
    <x v="1"/>
    <x v="1"/>
    <x v="1"/>
    <s v="Oct"/>
  </r>
  <r>
    <x v="64"/>
    <s v="801"/>
    <x v="0"/>
    <d v="2015-11-12T00:00:00"/>
    <s v="India"/>
    <d v="1983-04-27T00:00:00"/>
    <x v="0"/>
    <s v="GCOT03"/>
    <x v="0"/>
    <x v="0"/>
    <x v="0"/>
    <x v="1"/>
    <x v="64"/>
    <x v="11"/>
    <x v="5"/>
    <x v="1"/>
    <x v="3"/>
    <x v="1"/>
    <x v="3"/>
    <s v="Nov"/>
  </r>
  <r>
    <x v="65"/>
    <s v="8"/>
    <x v="0"/>
    <d v="2016-09-22T00:00:00"/>
    <s v="India"/>
    <d v="1978-02-19T00:00:00"/>
    <x v="0"/>
    <s v="GCOT08"/>
    <x v="0"/>
    <x v="0"/>
    <x v="0"/>
    <x v="1"/>
    <x v="65"/>
    <x v="6"/>
    <x v="7"/>
    <x v="0"/>
    <x v="1"/>
    <x v="4"/>
    <x v="19"/>
    <s v="Sep"/>
  </r>
  <r>
    <x v="66"/>
    <s v="8"/>
    <x v="1"/>
    <d v="1997-12-15T00:00:00"/>
    <s v="India"/>
    <d v="1972-01-06T00:00:00"/>
    <x v="0"/>
    <s v="GCOT09"/>
    <x v="0"/>
    <x v="0"/>
    <x v="0"/>
    <x v="1"/>
    <x v="66"/>
    <x v="6"/>
    <x v="1"/>
    <x v="0"/>
    <x v="2"/>
    <x v="0"/>
    <x v="6"/>
    <s v="Dec"/>
  </r>
  <r>
    <x v="67"/>
    <s v="344"/>
    <x v="1"/>
    <d v="2011-10-01T00:00:00"/>
    <s v="India"/>
    <d v="1982-09-08T00:00:00"/>
    <x v="0"/>
    <s v="GCOT02"/>
    <x v="0"/>
    <x v="0"/>
    <x v="0"/>
    <x v="3"/>
    <x v="67"/>
    <x v="4"/>
    <x v="3"/>
    <x v="1"/>
    <x v="3"/>
    <x v="2"/>
    <x v="20"/>
    <s v="Oct"/>
  </r>
  <r>
    <x v="68"/>
    <s v="801"/>
    <x v="1"/>
    <d v="2008-10-15T00:00:00"/>
    <s v="India"/>
    <d v="1978-02-19T00:00:00"/>
    <x v="0"/>
    <s v="GCOT06"/>
    <x v="0"/>
    <x v="0"/>
    <x v="0"/>
    <x v="1"/>
    <x v="68"/>
    <x v="11"/>
    <x v="2"/>
    <x v="1"/>
    <x v="1"/>
    <x v="2"/>
    <x v="16"/>
    <s v="Oct"/>
  </r>
  <r>
    <x v="69"/>
    <s v="8"/>
    <x v="1"/>
    <d v="2014-04-26T00:00:00"/>
    <s v="India"/>
    <d v="1990-02-09T00:00:00"/>
    <x v="0"/>
    <s v="GCOT08"/>
    <x v="0"/>
    <x v="0"/>
    <x v="0"/>
    <x v="1"/>
    <x v="69"/>
    <x v="6"/>
    <x v="7"/>
    <x v="0"/>
    <x v="4"/>
    <x v="1"/>
    <x v="1"/>
    <s v="Apr"/>
  </r>
  <r>
    <x v="70"/>
    <s v="8"/>
    <x v="1"/>
    <d v="2015-02-01T00:00:00"/>
    <s v="India"/>
    <d v="1983-05-16T00:00:00"/>
    <x v="0"/>
    <s v="GCOT08"/>
    <x v="0"/>
    <x v="0"/>
    <x v="0"/>
    <x v="1"/>
    <x v="70"/>
    <x v="6"/>
    <x v="7"/>
    <x v="0"/>
    <x v="3"/>
    <x v="1"/>
    <x v="3"/>
    <s v="Feb"/>
  </r>
  <r>
    <x v="71"/>
    <s v="186"/>
    <x v="0"/>
    <d v="2015-03-31T00:00:00"/>
    <s v="India"/>
    <d v="1985-05-31T00:00:00"/>
    <x v="1"/>
    <s v="GCOT03"/>
    <x v="0"/>
    <x v="0"/>
    <x v="0"/>
    <x v="2"/>
    <x v="71"/>
    <x v="3"/>
    <x v="5"/>
    <x v="1"/>
    <x v="3"/>
    <x v="1"/>
    <x v="3"/>
    <s v="Mar"/>
  </r>
  <r>
    <x v="72"/>
    <s v="186"/>
    <x v="0"/>
    <d v="2015-09-02T00:00:00"/>
    <s v="India"/>
    <d v="1987-10-21T00:00:00"/>
    <x v="1"/>
    <s v="GCOT03"/>
    <x v="0"/>
    <x v="0"/>
    <x v="0"/>
    <x v="2"/>
    <x v="72"/>
    <x v="3"/>
    <x v="5"/>
    <x v="1"/>
    <x v="4"/>
    <x v="1"/>
    <x v="3"/>
    <s v="Sep"/>
  </r>
  <r>
    <x v="73"/>
    <s v="344"/>
    <x v="0"/>
    <d v="2013-08-25T00:00:00"/>
    <s v="India"/>
    <d v="1960-10-23T00:00:00"/>
    <x v="1"/>
    <s v="GCOT02"/>
    <x v="0"/>
    <x v="0"/>
    <x v="0"/>
    <x v="3"/>
    <x v="73"/>
    <x v="4"/>
    <x v="3"/>
    <x v="1"/>
    <x v="0"/>
    <x v="3"/>
    <x v="5"/>
    <s v="Aug"/>
  </r>
  <r>
    <x v="74"/>
    <s v="807"/>
    <x v="0"/>
    <d v="1997-02-27T00:00:00"/>
    <s v="India"/>
    <d v="1974-05-31T00:00:00"/>
    <x v="1"/>
    <s v="GCOT06"/>
    <x v="0"/>
    <x v="0"/>
    <x v="0"/>
    <x v="4"/>
    <x v="74"/>
    <x v="9"/>
    <x v="2"/>
    <x v="1"/>
    <x v="2"/>
    <x v="0"/>
    <x v="6"/>
    <s v="Feb"/>
  </r>
  <r>
    <x v="75"/>
    <s v="186"/>
    <x v="0"/>
    <d v="2013-07-13T00:00:00"/>
    <s v="India"/>
    <d v="1978-05-06T00:00:00"/>
    <x v="1"/>
    <s v="GCOT03"/>
    <x v="0"/>
    <x v="0"/>
    <x v="0"/>
    <x v="2"/>
    <x v="75"/>
    <x v="3"/>
    <x v="5"/>
    <x v="1"/>
    <x v="1"/>
    <x v="3"/>
    <x v="5"/>
    <s v="Jul"/>
  </r>
  <r>
    <x v="76"/>
    <s v="727"/>
    <x v="0"/>
    <d v="2011-09-17T00:00:00"/>
    <s v="India"/>
    <d v="1986-04-20T00:00:00"/>
    <x v="1"/>
    <s v="GCOT04"/>
    <x v="0"/>
    <x v="0"/>
    <x v="0"/>
    <x v="1"/>
    <x v="76"/>
    <x v="8"/>
    <x v="4"/>
    <x v="1"/>
    <x v="3"/>
    <x v="2"/>
    <x v="20"/>
    <s v="Sep"/>
  </r>
  <r>
    <x v="77"/>
    <s v="801"/>
    <x v="0"/>
    <d v="2013-01-02T00:00:00"/>
    <s v="India"/>
    <d v="1991-06-01T00:00:00"/>
    <x v="1"/>
    <s v="GCOT04"/>
    <x v="0"/>
    <x v="0"/>
    <x v="0"/>
    <x v="1"/>
    <x v="77"/>
    <x v="11"/>
    <x v="4"/>
    <x v="1"/>
    <x v="4"/>
    <x v="3"/>
    <x v="5"/>
    <s v="Jan"/>
  </r>
  <r>
    <x v="78"/>
    <s v="761"/>
    <x v="0"/>
    <d v="2013-10-08T00:00:00"/>
    <s v="India"/>
    <d v="1987-08-26T00:00:00"/>
    <x v="1"/>
    <s v="GCOT03"/>
    <x v="0"/>
    <x v="0"/>
    <x v="0"/>
    <x v="0"/>
    <x v="78"/>
    <x v="5"/>
    <x v="5"/>
    <x v="1"/>
    <x v="4"/>
    <x v="3"/>
    <x v="5"/>
    <s v="Oct"/>
  </r>
  <r>
    <x v="79"/>
    <s v="807"/>
    <x v="0"/>
    <d v="2013-12-01T00:00:00"/>
    <s v="India"/>
    <d v="1990-08-26T00:00:00"/>
    <x v="1"/>
    <s v="GCOT04"/>
    <x v="0"/>
    <x v="0"/>
    <x v="0"/>
    <x v="4"/>
    <x v="79"/>
    <x v="9"/>
    <x v="4"/>
    <x v="1"/>
    <x v="4"/>
    <x v="3"/>
    <x v="5"/>
    <s v="Dec"/>
  </r>
  <r>
    <x v="80"/>
    <s v="588"/>
    <x v="0"/>
    <d v="2015-06-08T00:00:00"/>
    <s v="India"/>
    <d v="1991-04-28T00:00:00"/>
    <x v="1"/>
    <s v="GCOT04"/>
    <x v="0"/>
    <x v="0"/>
    <x v="0"/>
    <x v="1"/>
    <x v="80"/>
    <x v="12"/>
    <x v="4"/>
    <x v="1"/>
    <x v="4"/>
    <x v="1"/>
    <x v="3"/>
    <s v="Jun"/>
  </r>
  <r>
    <x v="81"/>
    <s v="727"/>
    <x v="0"/>
    <d v="2015-02-17T00:00:00"/>
    <s v="India"/>
    <d v="1990-05-31T00:00:00"/>
    <x v="1"/>
    <s v="GCOT04"/>
    <x v="0"/>
    <x v="0"/>
    <x v="0"/>
    <x v="1"/>
    <x v="81"/>
    <x v="8"/>
    <x v="4"/>
    <x v="1"/>
    <x v="4"/>
    <x v="1"/>
    <x v="3"/>
    <s v="Feb"/>
  </r>
  <r>
    <x v="82"/>
    <s v="186"/>
    <x v="1"/>
    <d v="2015-09-13T00:00:00"/>
    <s v="Sri Lanka"/>
    <d v="1978-12-05T00:00:00"/>
    <x v="0"/>
    <s v="GCOT03"/>
    <x v="0"/>
    <x v="0"/>
    <x v="0"/>
    <x v="2"/>
    <x v="82"/>
    <x v="3"/>
    <x v="5"/>
    <x v="1"/>
    <x v="1"/>
    <x v="1"/>
    <x v="3"/>
    <s v="Sep"/>
  </r>
  <r>
    <x v="83"/>
    <s v="186"/>
    <x v="0"/>
    <d v="2007-09-01T00:00:00"/>
    <s v="Pakistan"/>
    <d v="1977-04-25T00:00:00"/>
    <x v="0"/>
    <s v="GCOT02"/>
    <x v="0"/>
    <x v="0"/>
    <x v="0"/>
    <x v="2"/>
    <x v="83"/>
    <x v="3"/>
    <x v="3"/>
    <x v="1"/>
    <x v="1"/>
    <x v="2"/>
    <x v="15"/>
    <s v="Sep"/>
  </r>
  <r>
    <x v="84"/>
    <s v="186"/>
    <x v="0"/>
    <d v="2007-06-05T00:00:00"/>
    <s v="Pakistan"/>
    <d v="1980-09-08T00:00:00"/>
    <x v="0"/>
    <s v="GCOT02"/>
    <x v="0"/>
    <x v="0"/>
    <x v="0"/>
    <x v="2"/>
    <x v="84"/>
    <x v="3"/>
    <x v="3"/>
    <x v="1"/>
    <x v="1"/>
    <x v="2"/>
    <x v="15"/>
    <s v="Jun"/>
  </r>
  <r>
    <x v="85"/>
    <s v="186"/>
    <x v="0"/>
    <d v="2010-12-18T00:00:00"/>
    <s v="Bangladesh"/>
    <d v="1991-02-10T00:00:00"/>
    <x v="0"/>
    <s v="GCOT03"/>
    <x v="0"/>
    <x v="0"/>
    <x v="0"/>
    <x v="2"/>
    <x v="85"/>
    <x v="3"/>
    <x v="5"/>
    <x v="1"/>
    <x v="4"/>
    <x v="2"/>
    <x v="4"/>
    <s v="Dec"/>
  </r>
  <r>
    <x v="86"/>
    <s v="344"/>
    <x v="0"/>
    <d v="1996-11-05T00:00:00"/>
    <s v="Pakistan"/>
    <d v="1972-01-01T00:00:00"/>
    <x v="0"/>
    <s v="GCOT01"/>
    <x v="0"/>
    <x v="0"/>
    <x v="0"/>
    <x v="3"/>
    <x v="86"/>
    <x v="4"/>
    <x v="3"/>
    <x v="1"/>
    <x v="2"/>
    <x v="0"/>
    <x v="0"/>
    <s v="Nov"/>
  </r>
  <r>
    <x v="87"/>
    <s v="186"/>
    <x v="0"/>
    <d v="2012-01-28T00:00:00"/>
    <s v="Pakistan"/>
    <d v="1983-04-20T00:00:00"/>
    <x v="0"/>
    <s v="GCOT02"/>
    <x v="0"/>
    <x v="0"/>
    <x v="0"/>
    <x v="2"/>
    <x v="87"/>
    <x v="3"/>
    <x v="3"/>
    <x v="1"/>
    <x v="3"/>
    <x v="2"/>
    <x v="17"/>
    <s v="Jan"/>
  </r>
  <r>
    <x v="88"/>
    <s v="186"/>
    <x v="0"/>
    <d v="2012-01-06T00:00:00"/>
    <s v="Pakistan"/>
    <d v="1990-03-14T00:00:00"/>
    <x v="1"/>
    <s v="GCOT02"/>
    <x v="0"/>
    <x v="0"/>
    <x v="0"/>
    <x v="2"/>
    <x v="88"/>
    <x v="3"/>
    <x v="3"/>
    <x v="1"/>
    <x v="4"/>
    <x v="2"/>
    <x v="17"/>
    <s v="Jan"/>
  </r>
  <r>
    <x v="89"/>
    <s v="186"/>
    <x v="0"/>
    <d v="2013-12-01T00:00:00"/>
    <s v="Pakistan"/>
    <d v="1982-01-01T00:00:00"/>
    <x v="0"/>
    <s v="GCOT02"/>
    <x v="0"/>
    <x v="0"/>
    <x v="0"/>
    <x v="2"/>
    <x v="89"/>
    <x v="3"/>
    <x v="3"/>
    <x v="1"/>
    <x v="3"/>
    <x v="3"/>
    <x v="5"/>
    <s v="Dec"/>
  </r>
  <r>
    <x v="90"/>
    <s v="186"/>
    <x v="0"/>
    <d v="2014-10-07T00:00:00"/>
    <s v="Pakistan"/>
    <d v="1982-01-01T00:00:00"/>
    <x v="0"/>
    <s v="GCOT02"/>
    <x v="0"/>
    <x v="0"/>
    <x v="0"/>
    <x v="2"/>
    <x v="90"/>
    <x v="3"/>
    <x v="3"/>
    <x v="1"/>
    <x v="3"/>
    <x v="1"/>
    <x v="1"/>
    <s v="Oct"/>
  </r>
  <r>
    <x v="91"/>
    <s v="186"/>
    <x v="0"/>
    <d v="2005-11-28T00:00:00"/>
    <s v="Sri Lanka"/>
    <d v="1973-11-03T00:00:00"/>
    <x v="0"/>
    <s v="GCOT03"/>
    <x v="0"/>
    <x v="0"/>
    <x v="0"/>
    <x v="2"/>
    <x v="91"/>
    <x v="3"/>
    <x v="5"/>
    <x v="1"/>
    <x v="2"/>
    <x v="0"/>
    <x v="14"/>
    <s v="Nov"/>
  </r>
  <r>
    <x v="92"/>
    <s v="186"/>
    <x v="0"/>
    <d v="2005-12-03T00:00:00"/>
    <s v="Sri Lanka"/>
    <d v="1968-06-18T00:00:00"/>
    <x v="0"/>
    <s v="GCOT02"/>
    <x v="0"/>
    <x v="0"/>
    <x v="0"/>
    <x v="2"/>
    <x v="92"/>
    <x v="3"/>
    <x v="3"/>
    <x v="1"/>
    <x v="5"/>
    <x v="0"/>
    <x v="14"/>
    <s v="Dec"/>
  </r>
  <r>
    <x v="93"/>
    <s v="186"/>
    <x v="0"/>
    <d v="2001-01-13T00:00:00"/>
    <s v="Pakistan"/>
    <d v="1970-06-01T00:00:00"/>
    <x v="0"/>
    <s v="GCOT02"/>
    <x v="0"/>
    <x v="0"/>
    <x v="0"/>
    <x v="2"/>
    <x v="93"/>
    <x v="3"/>
    <x v="3"/>
    <x v="1"/>
    <x v="5"/>
    <x v="0"/>
    <x v="13"/>
    <s v="Jan"/>
  </r>
  <r>
    <x v="94"/>
    <s v="344"/>
    <x v="0"/>
    <d v="2005-09-28T00:00:00"/>
    <s v="Pakistan"/>
    <d v="1980-01-01T00:00:00"/>
    <x v="0"/>
    <s v="GCOT01"/>
    <x v="0"/>
    <x v="0"/>
    <x v="0"/>
    <x v="3"/>
    <x v="94"/>
    <x v="4"/>
    <x v="3"/>
    <x v="1"/>
    <x v="1"/>
    <x v="0"/>
    <x v="14"/>
    <s v="Sep"/>
  </r>
  <r>
    <x v="95"/>
    <s v="344"/>
    <x v="0"/>
    <d v="2005-10-04T00:00:00"/>
    <s v="Pakistan"/>
    <d v="1980-02-20T00:00:00"/>
    <x v="0"/>
    <s v="GCOT02"/>
    <x v="0"/>
    <x v="0"/>
    <x v="0"/>
    <x v="3"/>
    <x v="95"/>
    <x v="4"/>
    <x v="3"/>
    <x v="1"/>
    <x v="1"/>
    <x v="0"/>
    <x v="14"/>
    <s v="Oct"/>
  </r>
  <r>
    <x v="96"/>
    <s v="801"/>
    <x v="0"/>
    <d v="2005-10-12T00:00:00"/>
    <s v="Sri Lanka"/>
    <d v="1983-07-12T00:00:00"/>
    <x v="0"/>
    <s v="GCOT07"/>
    <x v="0"/>
    <x v="0"/>
    <x v="0"/>
    <x v="1"/>
    <x v="96"/>
    <x v="11"/>
    <x v="6"/>
    <x v="0"/>
    <x v="3"/>
    <x v="0"/>
    <x v="14"/>
    <s v="Oct"/>
  </r>
  <r>
    <x v="97"/>
    <s v="344"/>
    <x v="0"/>
    <d v="2005-09-07T00:00:00"/>
    <s v="Pakistan"/>
    <d v="1972-01-01T00:00:00"/>
    <x v="0"/>
    <s v="GCOT01"/>
    <x v="0"/>
    <x v="0"/>
    <x v="0"/>
    <x v="3"/>
    <x v="97"/>
    <x v="4"/>
    <x v="3"/>
    <x v="1"/>
    <x v="2"/>
    <x v="0"/>
    <x v="14"/>
    <s v="Sep"/>
  </r>
  <r>
    <x v="98"/>
    <s v="344"/>
    <x v="0"/>
    <d v="2007-06-11T00:00:00"/>
    <s v="Pakistan"/>
    <d v="1970-02-03T00:00:00"/>
    <x v="0"/>
    <s v="GCOT01"/>
    <x v="0"/>
    <x v="0"/>
    <x v="0"/>
    <x v="3"/>
    <x v="98"/>
    <x v="4"/>
    <x v="3"/>
    <x v="1"/>
    <x v="5"/>
    <x v="2"/>
    <x v="15"/>
    <s v="Jun"/>
  </r>
  <r>
    <x v="99"/>
    <s v="344"/>
    <x v="0"/>
    <d v="2008-03-29T00:00:00"/>
    <s v="Pakistan"/>
    <d v="1986-03-06T00:00:00"/>
    <x v="0"/>
    <s v="GCOT01"/>
    <x v="0"/>
    <x v="0"/>
    <x v="0"/>
    <x v="3"/>
    <x v="99"/>
    <x v="4"/>
    <x v="3"/>
    <x v="1"/>
    <x v="3"/>
    <x v="2"/>
    <x v="16"/>
    <s v="Mar"/>
  </r>
  <r>
    <x v="100"/>
    <s v="344"/>
    <x v="0"/>
    <d v="2008-05-13T00:00:00"/>
    <s v="Pakistan"/>
    <d v="1986-01-28T00:00:00"/>
    <x v="1"/>
    <s v="GCOT02"/>
    <x v="0"/>
    <x v="0"/>
    <x v="0"/>
    <x v="3"/>
    <x v="100"/>
    <x v="4"/>
    <x v="3"/>
    <x v="1"/>
    <x v="3"/>
    <x v="2"/>
    <x v="16"/>
    <s v="May"/>
  </r>
  <r>
    <x v="101"/>
    <s v="344"/>
    <x v="0"/>
    <d v="2008-06-19T00:00:00"/>
    <s v="Pakistan"/>
    <d v="1999-06-19T00:00:00"/>
    <x v="1"/>
    <s v="GCOT02"/>
    <x v="0"/>
    <x v="0"/>
    <x v="0"/>
    <x v="3"/>
    <x v="101"/>
    <x v="4"/>
    <x v="3"/>
    <x v="1"/>
    <x v="6"/>
    <x v="2"/>
    <x v="16"/>
    <s v="Jun"/>
  </r>
  <r>
    <x v="102"/>
    <s v="614"/>
    <x v="0"/>
    <d v="2008-10-16T00:00:00"/>
    <s v="Serbia And Montenegro"/>
    <d v="1968-11-09T00:00:00"/>
    <x v="0"/>
    <s v="GCOT05"/>
    <x v="0"/>
    <x v="0"/>
    <x v="0"/>
    <x v="1"/>
    <x v="102"/>
    <x v="10"/>
    <x v="8"/>
    <x v="1"/>
    <x v="5"/>
    <x v="2"/>
    <x v="16"/>
    <s v="Oct"/>
  </r>
  <r>
    <x v="103"/>
    <s v="761"/>
    <x v="0"/>
    <d v="2010-02-21T00:00:00"/>
    <s v="Syria"/>
    <d v="1985-06-02T00:00:00"/>
    <x v="1"/>
    <s v="GCOT06"/>
    <x v="0"/>
    <x v="0"/>
    <x v="0"/>
    <x v="1"/>
    <x v="103"/>
    <x v="5"/>
    <x v="2"/>
    <x v="1"/>
    <x v="3"/>
    <x v="2"/>
    <x v="4"/>
    <s v="Feb"/>
  </r>
  <r>
    <x v="104"/>
    <s v="8"/>
    <x v="1"/>
    <d v="2010-06-07T00:00:00"/>
    <s v="Japan"/>
    <d v="1981-06-18T00:00:00"/>
    <x v="1"/>
    <s v="GCOT07"/>
    <x v="0"/>
    <x v="0"/>
    <x v="0"/>
    <x v="1"/>
    <x v="104"/>
    <x v="6"/>
    <x v="6"/>
    <x v="0"/>
    <x v="3"/>
    <x v="2"/>
    <x v="4"/>
    <s v="Jun"/>
  </r>
  <r>
    <x v="105"/>
    <s v="8"/>
    <x v="1"/>
    <d v="2010-09-01T00:00:00"/>
    <s v="Brazil"/>
    <d v="1976-09-16T00:00:00"/>
    <x v="1"/>
    <s v="GCOT05"/>
    <x v="0"/>
    <x v="0"/>
    <x v="0"/>
    <x v="1"/>
    <x v="105"/>
    <x v="6"/>
    <x v="8"/>
    <x v="1"/>
    <x v="1"/>
    <x v="2"/>
    <x v="4"/>
    <s v="Sep"/>
  </r>
  <r>
    <x v="106"/>
    <s v="8"/>
    <x v="1"/>
    <d v="2010-10-21T00:00:00"/>
    <s v="Germany"/>
    <d v="1984-08-16T00:00:00"/>
    <x v="1"/>
    <s v="GCOT08"/>
    <x v="0"/>
    <x v="0"/>
    <x v="0"/>
    <x v="1"/>
    <x v="106"/>
    <x v="6"/>
    <x v="7"/>
    <x v="0"/>
    <x v="3"/>
    <x v="2"/>
    <x v="4"/>
    <s v="Oct"/>
  </r>
  <r>
    <x v="107"/>
    <s v="761"/>
    <x v="0"/>
    <d v="2010-11-14T00:00:00"/>
    <s v="Bangladesh"/>
    <d v="1986-10-05T00:00:00"/>
    <x v="0"/>
    <s v="GCOT01"/>
    <x v="0"/>
    <x v="0"/>
    <x v="0"/>
    <x v="0"/>
    <x v="107"/>
    <x v="5"/>
    <x v="3"/>
    <x v="1"/>
    <x v="4"/>
    <x v="2"/>
    <x v="4"/>
    <s v="Nov"/>
  </r>
  <r>
    <x v="108"/>
    <s v="344"/>
    <x v="0"/>
    <d v="2010-12-13T00:00:00"/>
    <s v="Sri Lanka"/>
    <d v="1973-06-02T00:00:00"/>
    <x v="0"/>
    <s v="GCOT02"/>
    <x v="0"/>
    <x v="0"/>
    <x v="0"/>
    <x v="3"/>
    <x v="108"/>
    <x v="4"/>
    <x v="3"/>
    <x v="1"/>
    <x v="2"/>
    <x v="2"/>
    <x v="4"/>
    <s v="Dec"/>
  </r>
  <r>
    <x v="109"/>
    <s v="344"/>
    <x v="0"/>
    <d v="2010-12-13T00:00:00"/>
    <s v="Sri Lanka"/>
    <d v="1981-11-17T00:00:00"/>
    <x v="0"/>
    <s v="GCOT03"/>
    <x v="0"/>
    <x v="0"/>
    <x v="0"/>
    <x v="2"/>
    <x v="109"/>
    <x v="4"/>
    <x v="5"/>
    <x v="1"/>
    <x v="3"/>
    <x v="2"/>
    <x v="4"/>
    <s v="Dec"/>
  </r>
  <r>
    <x v="110"/>
    <s v="344"/>
    <x v="0"/>
    <d v="1992-10-24T00:00:00"/>
    <s v="Pakistan"/>
    <d v="1967-01-01T00:00:00"/>
    <x v="0"/>
    <s v="GCOT01"/>
    <x v="0"/>
    <x v="0"/>
    <x v="0"/>
    <x v="3"/>
    <x v="110"/>
    <x v="4"/>
    <x v="3"/>
    <x v="1"/>
    <x v="5"/>
    <x v="0"/>
    <x v="21"/>
    <s v="Oct"/>
  </r>
  <r>
    <x v="111"/>
    <s v="344"/>
    <x v="0"/>
    <d v="2011-10-24T00:00:00"/>
    <s v="Bangladesh"/>
    <d v="1982-02-17T00:00:00"/>
    <x v="0"/>
    <s v="GCOT02"/>
    <x v="0"/>
    <x v="0"/>
    <x v="0"/>
    <x v="3"/>
    <x v="111"/>
    <x v="4"/>
    <x v="3"/>
    <x v="1"/>
    <x v="3"/>
    <x v="2"/>
    <x v="20"/>
    <s v="Oct"/>
  </r>
  <r>
    <x v="112"/>
    <s v="344"/>
    <x v="0"/>
    <d v="2012-01-29T00:00:00"/>
    <s v="Sri Lanka"/>
    <d v="1978-09-23T00:00:00"/>
    <x v="0"/>
    <s v="GCOT02"/>
    <x v="0"/>
    <x v="0"/>
    <x v="0"/>
    <x v="2"/>
    <x v="112"/>
    <x v="4"/>
    <x v="3"/>
    <x v="1"/>
    <x v="1"/>
    <x v="2"/>
    <x v="17"/>
    <s v="Jan"/>
  </r>
  <r>
    <x v="113"/>
    <s v="344"/>
    <x v="0"/>
    <d v="2012-05-05T00:00:00"/>
    <s v="Sri Lanka"/>
    <d v="1978-05-02T00:00:00"/>
    <x v="0"/>
    <s v="GCOT02"/>
    <x v="0"/>
    <x v="0"/>
    <x v="0"/>
    <x v="2"/>
    <x v="113"/>
    <x v="4"/>
    <x v="3"/>
    <x v="1"/>
    <x v="1"/>
    <x v="3"/>
    <x v="17"/>
    <s v="May"/>
  </r>
  <r>
    <x v="114"/>
    <s v="344"/>
    <x v="0"/>
    <d v="2012-06-20T00:00:00"/>
    <s v="Syria"/>
    <d v="1971-01-01T00:00:00"/>
    <x v="0"/>
    <s v="GCOT02"/>
    <x v="0"/>
    <x v="0"/>
    <x v="0"/>
    <x v="3"/>
    <x v="114"/>
    <x v="4"/>
    <x v="3"/>
    <x v="1"/>
    <x v="5"/>
    <x v="3"/>
    <x v="17"/>
    <s v="Jun"/>
  </r>
  <r>
    <x v="115"/>
    <s v="614"/>
    <x v="0"/>
    <d v="2012-08-28T00:00:00"/>
    <s v="Sri Lanka"/>
    <d v="1984-05-07T00:00:00"/>
    <x v="1"/>
    <s v="GCOT05"/>
    <x v="0"/>
    <x v="0"/>
    <x v="0"/>
    <x v="1"/>
    <x v="115"/>
    <x v="10"/>
    <x v="8"/>
    <x v="1"/>
    <x v="3"/>
    <x v="3"/>
    <x v="17"/>
    <s v="Aug"/>
  </r>
  <r>
    <x v="116"/>
    <s v="344"/>
    <x v="0"/>
    <d v="2012-11-01T00:00:00"/>
    <s v="Pakistan"/>
    <d v="1979-08-03T00:00:00"/>
    <x v="0"/>
    <s v="GCOT02"/>
    <x v="0"/>
    <x v="0"/>
    <x v="0"/>
    <x v="3"/>
    <x v="116"/>
    <x v="4"/>
    <x v="3"/>
    <x v="1"/>
    <x v="1"/>
    <x v="3"/>
    <x v="17"/>
    <s v="Nov"/>
  </r>
  <r>
    <x v="117"/>
    <s v="344"/>
    <x v="0"/>
    <d v="2016-06-12T00:00:00"/>
    <s v="Pakistan"/>
    <d v="1992-04-07T00:00:00"/>
    <x v="1"/>
    <s v="GCOT02"/>
    <x v="0"/>
    <x v="0"/>
    <x v="0"/>
    <x v="3"/>
    <x v="117"/>
    <x v="4"/>
    <x v="3"/>
    <x v="1"/>
    <x v="4"/>
    <x v="4"/>
    <x v="19"/>
    <s v="Jun"/>
  </r>
  <r>
    <x v="118"/>
    <s v="344"/>
    <x v="0"/>
    <d v="2012-11-01T00:00:00"/>
    <s v="Pakistan"/>
    <d v="1985-01-01T00:00:00"/>
    <x v="0"/>
    <s v="GCOT02"/>
    <x v="0"/>
    <x v="0"/>
    <x v="0"/>
    <x v="3"/>
    <x v="118"/>
    <x v="4"/>
    <x v="3"/>
    <x v="1"/>
    <x v="3"/>
    <x v="3"/>
    <x v="17"/>
    <s v="Nov"/>
  </r>
  <r>
    <x v="119"/>
    <s v="614"/>
    <x v="1"/>
    <d v="2013-05-13T00:00:00"/>
    <s v="Bolivia"/>
    <d v="1985-05-27T00:00:00"/>
    <x v="0"/>
    <s v="GCOT05"/>
    <x v="0"/>
    <x v="0"/>
    <x v="0"/>
    <x v="1"/>
    <x v="119"/>
    <x v="10"/>
    <x v="8"/>
    <x v="1"/>
    <x v="3"/>
    <x v="3"/>
    <x v="5"/>
    <s v="May"/>
  </r>
  <r>
    <x v="120"/>
    <s v="801"/>
    <x v="0"/>
    <d v="2013-06-01T00:00:00"/>
    <s v="Sri Lanka"/>
    <d v="1986-09-11T00:00:00"/>
    <x v="1"/>
    <s v="GCOT03"/>
    <x v="0"/>
    <x v="0"/>
    <x v="0"/>
    <x v="1"/>
    <x v="120"/>
    <x v="11"/>
    <x v="5"/>
    <x v="1"/>
    <x v="4"/>
    <x v="3"/>
    <x v="5"/>
    <s v="Jun"/>
  </r>
  <r>
    <x v="121"/>
    <s v="761"/>
    <x v="0"/>
    <d v="2013-10-23T00:00:00"/>
    <s v="Sri Lanka"/>
    <d v="1962-08-05T00:00:00"/>
    <x v="0"/>
    <s v="GCOT04"/>
    <x v="0"/>
    <x v="0"/>
    <x v="0"/>
    <x v="0"/>
    <x v="121"/>
    <x v="5"/>
    <x v="4"/>
    <x v="1"/>
    <x v="0"/>
    <x v="3"/>
    <x v="5"/>
    <s v="Oct"/>
  </r>
  <r>
    <x v="122"/>
    <s v="614"/>
    <x v="0"/>
    <d v="2013-10-31T00:00:00"/>
    <s v="Sri Lanka"/>
    <d v="1971-10-10T00:00:00"/>
    <x v="1"/>
    <s v="GCOT05"/>
    <x v="0"/>
    <x v="0"/>
    <x v="0"/>
    <x v="1"/>
    <x v="122"/>
    <x v="10"/>
    <x v="8"/>
    <x v="1"/>
    <x v="2"/>
    <x v="3"/>
    <x v="5"/>
    <s v="Oct"/>
  </r>
  <r>
    <x v="123"/>
    <s v="8"/>
    <x v="1"/>
    <d v="2013-11-23T00:00:00"/>
    <s v="Japan"/>
    <d v="1989-02-23T00:00:00"/>
    <x v="1"/>
    <s v="GCOT04"/>
    <x v="0"/>
    <x v="0"/>
    <x v="0"/>
    <x v="1"/>
    <x v="123"/>
    <x v="6"/>
    <x v="4"/>
    <x v="1"/>
    <x v="4"/>
    <x v="3"/>
    <x v="5"/>
    <s v="Nov"/>
  </r>
  <r>
    <x v="124"/>
    <s v="344"/>
    <x v="0"/>
    <d v="2014-01-21T00:00:00"/>
    <s v="Pakistan"/>
    <d v="1980-02-01T00:00:00"/>
    <x v="0"/>
    <s v="GCOT01"/>
    <x v="0"/>
    <x v="0"/>
    <x v="0"/>
    <x v="3"/>
    <x v="124"/>
    <x v="4"/>
    <x v="3"/>
    <x v="1"/>
    <x v="1"/>
    <x v="3"/>
    <x v="1"/>
    <s v="Jan"/>
  </r>
  <r>
    <x v="125"/>
    <s v="614"/>
    <x v="1"/>
    <d v="2015-09-20T00:00:00"/>
    <s v="Germany"/>
    <d v="1982-08-28T00:00:00"/>
    <x v="1"/>
    <s v="GCOT05"/>
    <x v="0"/>
    <x v="0"/>
    <x v="0"/>
    <x v="1"/>
    <x v="125"/>
    <x v="10"/>
    <x v="8"/>
    <x v="1"/>
    <x v="3"/>
    <x v="1"/>
    <x v="3"/>
    <s v="Sep"/>
  </r>
  <r>
    <x v="126"/>
    <s v="727"/>
    <x v="0"/>
    <d v="2015-05-13T00:00:00"/>
    <s v="Bolivia"/>
    <d v="1984-04-13T00:00:00"/>
    <x v="1"/>
    <s v="GCOT05"/>
    <x v="0"/>
    <x v="0"/>
    <x v="0"/>
    <x v="1"/>
    <x v="126"/>
    <x v="8"/>
    <x v="8"/>
    <x v="1"/>
    <x v="3"/>
    <x v="1"/>
    <x v="3"/>
    <s v="May"/>
  </r>
  <r>
    <x v="127"/>
    <s v="614"/>
    <x v="1"/>
    <d v="2015-09-14T00:00:00"/>
    <s v="Austria"/>
    <d v="1996-01-11T00:00:00"/>
    <x v="1"/>
    <s v="GCOT05"/>
    <x v="0"/>
    <x v="0"/>
    <x v="0"/>
    <x v="1"/>
    <x v="127"/>
    <x v="10"/>
    <x v="8"/>
    <x v="1"/>
    <x v="6"/>
    <x v="1"/>
    <x v="3"/>
    <s v="Sep"/>
  </r>
  <r>
    <x v="128"/>
    <s v="614"/>
    <x v="1"/>
    <d v="2015-09-14T00:00:00"/>
    <s v="Austria"/>
    <d v="1995-11-18T00:00:00"/>
    <x v="1"/>
    <s v="GCOT05"/>
    <x v="0"/>
    <x v="0"/>
    <x v="0"/>
    <x v="1"/>
    <x v="128"/>
    <x v="10"/>
    <x v="8"/>
    <x v="1"/>
    <x v="6"/>
    <x v="1"/>
    <x v="3"/>
    <s v="Sep"/>
  </r>
  <r>
    <x v="129"/>
    <s v="614"/>
    <x v="0"/>
    <d v="2015-08-18T00:00:00"/>
    <s v="Sri Lanka"/>
    <d v="1984-05-29T00:00:00"/>
    <x v="1"/>
    <s v="GCOT05"/>
    <x v="0"/>
    <x v="0"/>
    <x v="0"/>
    <x v="1"/>
    <x v="129"/>
    <x v="10"/>
    <x v="8"/>
    <x v="1"/>
    <x v="3"/>
    <x v="1"/>
    <x v="3"/>
    <s v="Aug"/>
  </r>
  <r>
    <x v="130"/>
    <s v="8"/>
    <x v="0"/>
    <d v="2016-09-03T00:00:00"/>
    <s v="Syria"/>
    <d v="1972-10-29T00:00:00"/>
    <x v="0"/>
    <s v="GCOT08"/>
    <x v="0"/>
    <x v="0"/>
    <x v="0"/>
    <x v="1"/>
    <x v="130"/>
    <x v="6"/>
    <x v="7"/>
    <x v="0"/>
    <x v="2"/>
    <x v="4"/>
    <x v="19"/>
    <s v="Sep"/>
  </r>
  <r>
    <x v="131"/>
    <s v=""/>
    <x v="0"/>
    <d v="2016-11-30T00:00:00"/>
    <s v="Belgium"/>
    <d v="1986-02-17T00:00:00"/>
    <x v="1"/>
    <s v="GCOT05"/>
    <x v="0"/>
    <x v="1"/>
    <x v="0"/>
    <x v="1"/>
    <x v="131"/>
    <x v="3"/>
    <x v="8"/>
    <x v="1"/>
    <x v="3"/>
    <x v="4"/>
    <x v="19"/>
    <s v="Nov"/>
  </r>
  <r>
    <x v="132"/>
    <s v=""/>
    <x v="0"/>
    <d v="2016-11-30T00:00:00"/>
    <s v="India"/>
    <d v="1990-11-05T00:00:00"/>
    <x v="1"/>
    <s v="GCOT05"/>
    <x v="0"/>
    <x v="1"/>
    <x v="0"/>
    <x v="1"/>
    <x v="132"/>
    <x v="3"/>
    <x v="8"/>
    <x v="1"/>
    <x v="4"/>
    <x v="4"/>
    <x v="19"/>
    <s v="Nov"/>
  </r>
  <r>
    <x v="133"/>
    <s v=""/>
    <x v="1"/>
    <d v="2016-12-12T00:00:00"/>
    <s v="India"/>
    <d v="1987-08-18T00:00:00"/>
    <x v="0"/>
    <s v="GCOT05"/>
    <x v="0"/>
    <x v="1"/>
    <x v="0"/>
    <x v="1"/>
    <x v="133"/>
    <x v="3"/>
    <x v="8"/>
    <x v="1"/>
    <x v="4"/>
    <x v="4"/>
    <x v="19"/>
    <s v="Dec"/>
  </r>
  <r>
    <x v="134"/>
    <s v="185"/>
    <x v="0"/>
    <d v="2015-10-17T00:00:00"/>
    <s v="India"/>
    <d v="1989-05-12T00:00:00"/>
    <x v="1"/>
    <s v="GCOT04"/>
    <x v="0"/>
    <x v="1"/>
    <x v="0"/>
    <x v="1"/>
    <x v="134"/>
    <x v="2"/>
    <x v="4"/>
    <x v="1"/>
    <x v="4"/>
    <x v="1"/>
    <x v="3"/>
    <s v="Oct"/>
  </r>
  <r>
    <x v="135"/>
    <s v="186"/>
    <x v="0"/>
    <d v="2015-10-24T00:00:00"/>
    <s v="Sri Lanka"/>
    <d v="1958-03-09T00:00:00"/>
    <x v="0"/>
    <s v="GCOT02"/>
    <x v="1"/>
    <x v="2"/>
    <x v="1"/>
    <x v="2"/>
    <x v="135"/>
    <x v="3"/>
    <x v="3"/>
    <x v="1"/>
    <x v="0"/>
    <x v="1"/>
    <x v="3"/>
    <s v="Oct"/>
  </r>
  <r>
    <x v="136"/>
    <s v="186"/>
    <x v="0"/>
    <d v="2015-12-08T00:00:00"/>
    <s v="Pakistan"/>
    <d v="1988-07-05T00:00:00"/>
    <x v="0"/>
    <s v="GCOT02"/>
    <x v="0"/>
    <x v="1"/>
    <x v="0"/>
    <x v="2"/>
    <x v="136"/>
    <x v="3"/>
    <x v="3"/>
    <x v="1"/>
    <x v="4"/>
    <x v="1"/>
    <x v="3"/>
    <s v="Dec"/>
  </r>
  <r>
    <x v="137"/>
    <s v="186"/>
    <x v="0"/>
    <d v="2016-01-24T00:00:00"/>
    <s v="India"/>
    <d v="1976-05-26T00:00:00"/>
    <x v="0"/>
    <s v="GCOT02"/>
    <x v="0"/>
    <x v="1"/>
    <x v="0"/>
    <x v="2"/>
    <x v="137"/>
    <x v="3"/>
    <x v="3"/>
    <x v="1"/>
    <x v="1"/>
    <x v="1"/>
    <x v="19"/>
    <s v="Jan"/>
  </r>
  <r>
    <x v="138"/>
    <s v="186"/>
    <x v="0"/>
    <d v="2016-01-21T00:00:00"/>
    <s v="India"/>
    <d v="1975-05-27T00:00:00"/>
    <x v="0"/>
    <s v="GCOT02"/>
    <x v="0"/>
    <x v="1"/>
    <x v="0"/>
    <x v="2"/>
    <x v="138"/>
    <x v="3"/>
    <x v="3"/>
    <x v="1"/>
    <x v="2"/>
    <x v="1"/>
    <x v="19"/>
    <s v="Jan"/>
  </r>
  <r>
    <x v="139"/>
    <s v="186"/>
    <x v="0"/>
    <d v="2015-12-30T00:00:00"/>
    <s v="India"/>
    <d v="1972-01-15T00:00:00"/>
    <x v="0"/>
    <s v="GCOT02"/>
    <x v="0"/>
    <x v="1"/>
    <x v="0"/>
    <x v="2"/>
    <x v="139"/>
    <x v="3"/>
    <x v="3"/>
    <x v="1"/>
    <x v="2"/>
    <x v="1"/>
    <x v="3"/>
    <s v="Dec"/>
  </r>
  <r>
    <x v="140"/>
    <s v="186"/>
    <x v="0"/>
    <d v="2016-01-13T00:00:00"/>
    <s v="India"/>
    <d v="1977-05-29T00:00:00"/>
    <x v="0"/>
    <s v="GCOT02"/>
    <x v="0"/>
    <x v="1"/>
    <x v="0"/>
    <x v="2"/>
    <x v="140"/>
    <x v="3"/>
    <x v="3"/>
    <x v="1"/>
    <x v="1"/>
    <x v="1"/>
    <x v="19"/>
    <s v="Jan"/>
  </r>
  <r>
    <x v="141"/>
    <s v="186"/>
    <x v="0"/>
    <d v="2016-01-13T00:00:00"/>
    <s v="India"/>
    <d v="1972-05-20T00:00:00"/>
    <x v="0"/>
    <s v="GCOT02"/>
    <x v="0"/>
    <x v="1"/>
    <x v="0"/>
    <x v="2"/>
    <x v="141"/>
    <x v="3"/>
    <x v="3"/>
    <x v="1"/>
    <x v="2"/>
    <x v="1"/>
    <x v="19"/>
    <s v="Jan"/>
  </r>
  <r>
    <x v="142"/>
    <s v="186"/>
    <x v="0"/>
    <d v="2016-01-13T00:00:00"/>
    <s v="India"/>
    <d v="1983-05-21T00:00:00"/>
    <x v="0"/>
    <s v="GCOT02"/>
    <x v="0"/>
    <x v="1"/>
    <x v="0"/>
    <x v="2"/>
    <x v="142"/>
    <x v="3"/>
    <x v="3"/>
    <x v="1"/>
    <x v="3"/>
    <x v="1"/>
    <x v="19"/>
    <s v="Jan"/>
  </r>
  <r>
    <x v="143"/>
    <s v="186"/>
    <x v="0"/>
    <d v="2016-01-16T00:00:00"/>
    <s v="India"/>
    <d v="1970-04-07T00:00:00"/>
    <x v="0"/>
    <s v="GCOT02"/>
    <x v="0"/>
    <x v="1"/>
    <x v="0"/>
    <x v="2"/>
    <x v="143"/>
    <x v="3"/>
    <x v="3"/>
    <x v="1"/>
    <x v="5"/>
    <x v="1"/>
    <x v="19"/>
    <s v="Jan"/>
  </r>
  <r>
    <x v="144"/>
    <s v="186"/>
    <x v="0"/>
    <d v="2016-01-20T00:00:00"/>
    <s v="India"/>
    <d v="1964-05-25T00:00:00"/>
    <x v="0"/>
    <s v="GCOT02"/>
    <x v="0"/>
    <x v="1"/>
    <x v="0"/>
    <x v="2"/>
    <x v="144"/>
    <x v="3"/>
    <x v="3"/>
    <x v="1"/>
    <x v="0"/>
    <x v="1"/>
    <x v="19"/>
    <s v="Jan"/>
  </r>
  <r>
    <x v="145"/>
    <s v="186"/>
    <x v="0"/>
    <d v="2016-02-11T00:00:00"/>
    <s v="India"/>
    <d v="1971-05-30T00:00:00"/>
    <x v="0"/>
    <s v="GCOT02"/>
    <x v="0"/>
    <x v="1"/>
    <x v="0"/>
    <x v="2"/>
    <x v="145"/>
    <x v="3"/>
    <x v="3"/>
    <x v="1"/>
    <x v="2"/>
    <x v="1"/>
    <x v="19"/>
    <s v="Feb"/>
  </r>
  <r>
    <x v="146"/>
    <s v="186"/>
    <x v="0"/>
    <d v="2016-02-11T00:00:00"/>
    <s v="India"/>
    <d v="1987-06-13T00:00:00"/>
    <x v="1"/>
    <s v="GCOT03"/>
    <x v="0"/>
    <x v="1"/>
    <x v="0"/>
    <x v="2"/>
    <x v="146"/>
    <x v="3"/>
    <x v="5"/>
    <x v="1"/>
    <x v="4"/>
    <x v="1"/>
    <x v="19"/>
    <s v="Feb"/>
  </r>
  <r>
    <x v="147"/>
    <s v="186"/>
    <x v="0"/>
    <d v="2017-03-16T00:00:00"/>
    <s v="Pakistan"/>
    <d v="1995-01-15T00:00:00"/>
    <x v="0"/>
    <s v="GCOT02"/>
    <x v="0"/>
    <x v="1"/>
    <x v="0"/>
    <x v="1"/>
    <x v="147"/>
    <x v="3"/>
    <x v="5"/>
    <x v="1"/>
    <x v="6"/>
    <x v="4"/>
    <x v="22"/>
    <s v="Mar"/>
  </r>
  <r>
    <x v="148"/>
    <s v="262"/>
    <x v="1"/>
    <d v="2016-10-01T00:00:00"/>
    <s v="China"/>
    <d v="1996-03-15T00:00:00"/>
    <x v="1"/>
    <s v="GCOT04"/>
    <x v="0"/>
    <x v="1"/>
    <x v="0"/>
    <x v="1"/>
    <x v="148"/>
    <x v="7"/>
    <x v="4"/>
    <x v="1"/>
    <x v="6"/>
    <x v="4"/>
    <x v="19"/>
    <s v="Oct"/>
  </r>
  <r>
    <x v="149"/>
    <s v="614"/>
    <x v="0"/>
    <d v="2015-10-24T00:00:00"/>
    <s v="Pakistan"/>
    <d v="1959-09-06T00:00:00"/>
    <x v="0"/>
    <s v="GCOT05"/>
    <x v="1"/>
    <x v="1"/>
    <x v="0"/>
    <x v="1"/>
    <x v="149"/>
    <x v="10"/>
    <x v="8"/>
    <x v="1"/>
    <x v="0"/>
    <x v="1"/>
    <x v="3"/>
    <s v="Oct"/>
  </r>
  <r>
    <x v="150"/>
    <s v="761"/>
    <x v="0"/>
    <d v="2015-12-16T00:00:00"/>
    <s v="India"/>
    <d v="1991-04-24T00:00:00"/>
    <x v="1"/>
    <s v="GCOT03"/>
    <x v="1"/>
    <x v="2"/>
    <x v="1"/>
    <x v="0"/>
    <x v="150"/>
    <x v="5"/>
    <x v="5"/>
    <x v="1"/>
    <x v="4"/>
    <x v="1"/>
    <x v="3"/>
    <s v="Dec"/>
  </r>
  <r>
    <x v="151"/>
    <s v="761"/>
    <x v="1"/>
    <d v="2015-11-01T00:00:00"/>
    <s v="Philippines"/>
    <d v="1979-08-18T00:00:00"/>
    <x v="1"/>
    <s v="GCOT03"/>
    <x v="0"/>
    <x v="1"/>
    <x v="0"/>
    <x v="0"/>
    <x v="151"/>
    <x v="5"/>
    <x v="5"/>
    <x v="1"/>
    <x v="1"/>
    <x v="1"/>
    <x v="3"/>
    <s v="Nov"/>
  </r>
  <r>
    <x v="152"/>
    <s v="801"/>
    <x v="1"/>
    <d v="2015-12-01T00:00:00"/>
    <s v="Philippines"/>
    <d v="1982-02-12T00:00:00"/>
    <x v="1"/>
    <s v="GCOT03"/>
    <x v="0"/>
    <x v="1"/>
    <x v="0"/>
    <x v="1"/>
    <x v="152"/>
    <x v="11"/>
    <x v="5"/>
    <x v="1"/>
    <x v="3"/>
    <x v="1"/>
    <x v="3"/>
    <s v="Dec"/>
  </r>
  <r>
    <x v="153"/>
    <s v="8"/>
    <x v="0"/>
    <d v="2016-02-02T00:00:00"/>
    <s v="India"/>
    <d v="1973-05-17T00:00:00"/>
    <x v="0"/>
    <s v="GCOT09"/>
    <x v="1"/>
    <x v="2"/>
    <x v="1"/>
    <x v="1"/>
    <x v="153"/>
    <x v="6"/>
    <x v="1"/>
    <x v="0"/>
    <x v="2"/>
    <x v="1"/>
    <x v="19"/>
    <s v="Feb"/>
  </r>
  <r>
    <x v="154"/>
    <s v="8"/>
    <x v="1"/>
    <d v="2016-06-15T00:00:00"/>
    <s v="Algeria"/>
    <d v="1985-01-10T00:00:00"/>
    <x v="1"/>
    <s v="GCOT04"/>
    <x v="1"/>
    <x v="3"/>
    <x v="2"/>
    <x v="2"/>
    <x v="154"/>
    <x v="6"/>
    <x v="4"/>
    <x v="1"/>
    <x v="3"/>
    <x v="4"/>
    <x v="19"/>
    <s v="Jun"/>
  </r>
  <r>
    <x v="155"/>
    <s v="8"/>
    <x v="0"/>
    <d v="2017-01-01T00:00:00"/>
    <s v="India"/>
    <d v="1976-02-26T00:00:00"/>
    <x v="0"/>
    <s v="GCOT09"/>
    <x v="0"/>
    <x v="1"/>
    <x v="0"/>
    <x v="1"/>
    <x v="155"/>
    <x v="6"/>
    <x v="1"/>
    <x v="0"/>
    <x v="2"/>
    <x v="4"/>
    <x v="22"/>
    <s v="Jan"/>
  </r>
  <r>
    <x v="156"/>
    <s v="185"/>
    <x v="0"/>
    <d v="2003-09-07T00:00:00"/>
    <s v="India"/>
    <d v="1980-05-27T00:00:00"/>
    <x v="0"/>
    <s v="GCOT06"/>
    <x v="1"/>
    <x v="2"/>
    <x v="3"/>
    <x v="1"/>
    <x v="156"/>
    <x v="2"/>
    <x v="2"/>
    <x v="1"/>
    <x v="1"/>
    <x v="0"/>
    <x v="23"/>
    <s v="Sep"/>
  </r>
  <r>
    <x v="157"/>
    <s v="186"/>
    <x v="0"/>
    <d v="2015-09-12T00:00:00"/>
    <s v="Sri Lanka"/>
    <d v="1972-05-21T00:00:00"/>
    <x v="0"/>
    <s v="GCOT02"/>
    <x v="1"/>
    <x v="2"/>
    <x v="2"/>
    <x v="2"/>
    <x v="157"/>
    <x v="3"/>
    <x v="3"/>
    <x v="1"/>
    <x v="2"/>
    <x v="1"/>
    <x v="3"/>
    <s v="Sep"/>
  </r>
  <r>
    <x v="158"/>
    <s v="186"/>
    <x v="0"/>
    <d v="2013-12-05T00:00:00"/>
    <s v="Pakistan"/>
    <d v="1988-10-05T00:00:00"/>
    <x v="0"/>
    <s v="GCOT02"/>
    <x v="1"/>
    <x v="2"/>
    <x v="2"/>
    <x v="2"/>
    <x v="158"/>
    <x v="3"/>
    <x v="3"/>
    <x v="1"/>
    <x v="4"/>
    <x v="3"/>
    <x v="5"/>
    <s v="Dec"/>
  </r>
  <r>
    <x v="159"/>
    <s v="186"/>
    <x v="0"/>
    <d v="2014-10-22T00:00:00"/>
    <s v="India"/>
    <d v="1983-05-15T00:00:00"/>
    <x v="0"/>
    <s v="GCOT02"/>
    <x v="1"/>
    <x v="2"/>
    <x v="4"/>
    <x v="2"/>
    <x v="159"/>
    <x v="3"/>
    <x v="3"/>
    <x v="1"/>
    <x v="3"/>
    <x v="1"/>
    <x v="1"/>
    <s v="Oct"/>
  </r>
  <r>
    <x v="160"/>
    <s v="186"/>
    <x v="0"/>
    <d v="2014-10-22T00:00:00"/>
    <s v="India"/>
    <d v="1981-05-25T00:00:00"/>
    <x v="0"/>
    <s v="GCOT02"/>
    <x v="1"/>
    <x v="2"/>
    <x v="5"/>
    <x v="2"/>
    <x v="160"/>
    <x v="3"/>
    <x v="3"/>
    <x v="1"/>
    <x v="3"/>
    <x v="1"/>
    <x v="1"/>
    <s v="Oct"/>
  </r>
  <r>
    <x v="161"/>
    <s v="614"/>
    <x v="1"/>
    <d v="2002-06-07T00:00:00"/>
    <s v="India"/>
    <d v="1971-09-17T00:00:00"/>
    <x v="2"/>
    <s v="GCOT06"/>
    <x v="1"/>
    <x v="2"/>
    <x v="6"/>
    <x v="1"/>
    <x v="161"/>
    <x v="10"/>
    <x v="2"/>
    <x v="1"/>
    <x v="2"/>
    <x v="0"/>
    <x v="9"/>
    <s v="Jun"/>
  </r>
  <r>
    <x v="162"/>
    <s v="614"/>
    <x v="0"/>
    <d v="2012-10-11T00:00:00"/>
    <s v="Sri Lanka"/>
    <d v="1964-04-01T00:00:00"/>
    <x v="0"/>
    <s v="GCOT05"/>
    <x v="1"/>
    <x v="2"/>
    <x v="7"/>
    <x v="1"/>
    <x v="162"/>
    <x v="10"/>
    <x v="8"/>
    <x v="1"/>
    <x v="0"/>
    <x v="3"/>
    <x v="17"/>
    <s v="Oct"/>
  </r>
  <r>
    <x v="163"/>
    <s v="614"/>
    <x v="0"/>
    <d v="2012-09-08T00:00:00"/>
    <s v="Germany"/>
    <d v="1958-04-30T00:00:00"/>
    <x v="0"/>
    <s v="GCOT05"/>
    <x v="1"/>
    <x v="4"/>
    <x v="8"/>
    <x v="1"/>
    <x v="163"/>
    <x v="10"/>
    <x v="8"/>
    <x v="1"/>
    <x v="0"/>
    <x v="3"/>
    <x v="17"/>
    <s v="Sep"/>
  </r>
  <r>
    <x v="164"/>
    <s v="344"/>
    <x v="0"/>
    <d v="2014-09-15T00:00:00"/>
    <s v="India"/>
    <d v="1969-01-12T00:00:00"/>
    <x v="0"/>
    <s v="GCOT01"/>
    <x v="1"/>
    <x v="2"/>
    <x v="9"/>
    <x v="2"/>
    <x v="164"/>
    <x v="4"/>
    <x v="3"/>
    <x v="1"/>
    <x v="5"/>
    <x v="1"/>
    <x v="1"/>
    <s v="Sep"/>
  </r>
  <r>
    <x v="165"/>
    <s v="8"/>
    <x v="0"/>
    <d v="2016-01-11T00:00:00"/>
    <s v="Tunisia"/>
    <d v="1958-07-23T00:00:00"/>
    <x v="0"/>
    <s v="GCOT08"/>
    <x v="1"/>
    <x v="2"/>
    <x v="10"/>
    <x v="1"/>
    <x v="165"/>
    <x v="6"/>
    <x v="7"/>
    <x v="0"/>
    <x v="0"/>
    <x v="1"/>
    <x v="19"/>
    <s v="Ja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3DA7F8-9409-434E-9DD9-9D3AA9401BC7}" name="PivotTable13" cacheId="0" applyNumberFormats="0" applyBorderFormats="0" applyFontFormats="0" applyPatternFormats="0" applyAlignmentFormats="0" applyWidthHeightFormats="1" dataCaption="Values" updatedVersion="7" minRefreshableVersion="3" showDrill="0" useAutoFormatting="1" rowGrandTotals="0" colGrandTotals="0" itemPrintTitles="1" createdVersion="7" indent="0" compact="0" compactData="0" multipleFieldFilters="0" chartFormat="8">
  <location ref="AF11:AI26" firstHeaderRow="1" firstDataRow="1" firstDataCol="4"/>
  <pivotFields count="20">
    <pivotField compact="0" outline="0" showAll="0" defaultSubtotal="0"/>
    <pivotField compact="0" outline="0" showAll="0" defaultSubtotal="0"/>
    <pivotField compact="0" outline="0" showAll="0" defaultSubtotal="0">
      <items count="2">
        <item x="1"/>
        <item x="0"/>
      </items>
    </pivotField>
    <pivotField compact="0" numFmtId="164" outline="0" showAll="0" defaultSubtotal="0"/>
    <pivotField compact="0" outline="0" showAll="0" defaultSubtotal="0"/>
    <pivotField compact="0" numFmtId="164" outline="0" showAll="0" defaultSubtotal="0"/>
    <pivotField compact="0" outline="0" showAll="0" defaultSubtotal="0"/>
    <pivotField compact="0" outline="0" showAll="0" defaultSubtotal="0"/>
    <pivotField compact="0" outline="0" showAll="0" defaultSubtotal="0">
      <items count="2">
        <item h="1" x="0"/>
        <item x="1"/>
      </items>
    </pivotField>
    <pivotField compact="0" outline="0" showAll="0" defaultSubtotal="0">
      <items count="5">
        <item x="0"/>
        <item x="1"/>
        <item x="2"/>
        <item x="4"/>
        <item x="3"/>
      </items>
    </pivotField>
    <pivotField compact="0" outline="0" showAll="0" defaultSubtotal="0"/>
    <pivotField axis="axisRow" compact="0" outline="0" showAll="0" defaultSubtotal="0">
      <items count="5">
        <item x="0"/>
        <item x="4"/>
        <item x="3"/>
        <item x="2"/>
        <item x="1"/>
      </items>
    </pivotField>
    <pivotField axis="axisRow" compact="0" outline="0" showAll="0" defaultSubtotal="0">
      <items count="166">
        <item x="46"/>
        <item x="5"/>
        <item x="88"/>
        <item x="95"/>
        <item x="53"/>
        <item x="50"/>
        <item x="83"/>
        <item x="20"/>
        <item x="51"/>
        <item x="33"/>
        <item x="108"/>
        <item x="76"/>
        <item x="119"/>
        <item x="65"/>
        <item x="159"/>
        <item x="37"/>
        <item x="112"/>
        <item x="62"/>
        <item x="24"/>
        <item x="12"/>
        <item x="100"/>
        <item x="139"/>
        <item x="92"/>
        <item x="43"/>
        <item x="116"/>
        <item x="137"/>
        <item x="94"/>
        <item x="63"/>
        <item x="10"/>
        <item x="58"/>
        <item x="117"/>
        <item x="120"/>
        <item x="44"/>
        <item x="138"/>
        <item x="17"/>
        <item x="110"/>
        <item x="97"/>
        <item x="16"/>
        <item x="144"/>
        <item x="125"/>
        <item x="122"/>
        <item x="19"/>
        <item x="22"/>
        <item x="96"/>
        <item x="21"/>
        <item x="57"/>
        <item x="157"/>
        <item x="115"/>
        <item x="149"/>
        <item x="55"/>
        <item x="150"/>
        <item x="80"/>
        <item x="14"/>
        <item x="146"/>
        <item x="64"/>
        <item x="75"/>
        <item x="52"/>
        <item x="25"/>
        <item x="136"/>
        <item x="133"/>
        <item x="35"/>
        <item x="6"/>
        <item x="77"/>
        <item x="153"/>
        <item x="82"/>
        <item x="158"/>
        <item x="59"/>
        <item x="90"/>
        <item x="40"/>
        <item x="121"/>
        <item x="11"/>
        <item x="142"/>
        <item x="7"/>
        <item x="118"/>
        <item x="104"/>
        <item x="163"/>
        <item x="78"/>
        <item x="145"/>
        <item x="131"/>
        <item x="69"/>
        <item x="89"/>
        <item x="47"/>
        <item x="79"/>
        <item x="68"/>
        <item x="127"/>
        <item x="130"/>
        <item x="152"/>
        <item x="134"/>
        <item x="28"/>
        <item x="15"/>
        <item x="141"/>
        <item x="106"/>
        <item x="2"/>
        <item x="3"/>
        <item x="8"/>
        <item x="32"/>
        <item x="66"/>
        <item x="30"/>
        <item x="135"/>
        <item x="4"/>
        <item x="162"/>
        <item x="114"/>
        <item x="9"/>
        <item x="161"/>
        <item x="31"/>
        <item x="27"/>
        <item x="26"/>
        <item x="103"/>
        <item x="73"/>
        <item x="39"/>
        <item x="140"/>
        <item x="23"/>
        <item x="143"/>
        <item x="36"/>
        <item x="93"/>
        <item x="86"/>
        <item x="165"/>
        <item x="45"/>
        <item x="74"/>
        <item x="91"/>
        <item x="124"/>
        <item x="81"/>
        <item x="151"/>
        <item x="42"/>
        <item x="61"/>
        <item x="84"/>
        <item x="29"/>
        <item x="60"/>
        <item x="54"/>
        <item x="0"/>
        <item x="129"/>
        <item x="156"/>
        <item x="87"/>
        <item x="111"/>
        <item x="99"/>
        <item x="155"/>
        <item x="105"/>
        <item x="13"/>
        <item x="128"/>
        <item x="132"/>
        <item x="113"/>
        <item x="41"/>
        <item x="18"/>
        <item x="154"/>
        <item x="72"/>
        <item x="126"/>
        <item x="85"/>
        <item x="38"/>
        <item x="70"/>
        <item x="164"/>
        <item x="109"/>
        <item x="160"/>
        <item x="56"/>
        <item x="107"/>
        <item x="98"/>
        <item x="34"/>
        <item x="67"/>
        <item x="48"/>
        <item x="147"/>
        <item x="148"/>
        <item x="71"/>
        <item x="102"/>
        <item x="101"/>
        <item x="49"/>
        <item x="1"/>
        <item x="123"/>
      </items>
    </pivotField>
    <pivotField axis="axisRow" compact="0" outline="0" showAll="0" defaultSubtotal="0">
      <items count="13">
        <item x="0"/>
        <item x="1"/>
        <item x="3"/>
        <item x="11"/>
        <item x="9"/>
        <item x="10"/>
        <item x="4"/>
        <item x="2"/>
        <item x="7"/>
        <item x="12"/>
        <item x="8"/>
        <item x="6"/>
        <item x="5"/>
      </items>
    </pivotField>
    <pivotField compact="0" outline="0" showAll="0" defaultSubtotal="0"/>
    <pivotField compact="0" outline="0" showAll="0" defaultSubtotal="0"/>
    <pivotField compact="0" outline="0" showAll="0" defaultSubtotal="0">
      <items count="7">
        <item x="6"/>
        <item x="4"/>
        <item x="3"/>
        <item x="1"/>
        <item x="2"/>
        <item x="5"/>
        <item x="0"/>
      </items>
    </pivotField>
    <pivotField axis="axisRow" compact="0" outline="0" showAll="0" defaultSubtotal="0">
      <items count="5">
        <item x="4"/>
        <item x="1"/>
        <item x="3"/>
        <item x="2"/>
        <item x="0"/>
      </items>
    </pivotField>
    <pivotField compact="0" outline="0" showAll="0" defaultSubtotal="0"/>
    <pivotField compact="0" outline="0" showAll="0" defaultSubtotal="0"/>
  </pivotFields>
  <rowFields count="4">
    <field x="11"/>
    <field x="13"/>
    <field x="12"/>
    <field x="17"/>
  </rowFields>
  <rowItems count="15">
    <i>
      <x/>
      <x v="12"/>
      <x v="50"/>
      <x v="1"/>
    </i>
    <i>
      <x v="3"/>
      <x v="2"/>
      <x v="14"/>
      <x v="1"/>
    </i>
    <i r="2">
      <x v="46"/>
      <x v="1"/>
    </i>
    <i r="2">
      <x v="65"/>
      <x v="2"/>
    </i>
    <i r="2">
      <x v="98"/>
      <x v="1"/>
    </i>
    <i r="2">
      <x v="151"/>
      <x v="1"/>
    </i>
    <i r="1">
      <x v="6"/>
      <x v="149"/>
      <x v="1"/>
    </i>
    <i r="1">
      <x v="11"/>
      <x v="143"/>
      <x/>
    </i>
    <i>
      <x v="4"/>
      <x v="5"/>
      <x v="48"/>
      <x v="1"/>
    </i>
    <i r="2">
      <x v="75"/>
      <x v="2"/>
    </i>
    <i r="2">
      <x v="100"/>
      <x v="2"/>
    </i>
    <i r="2">
      <x v="103"/>
      <x v="4"/>
    </i>
    <i r="1">
      <x v="7"/>
      <x v="131"/>
      <x v="4"/>
    </i>
    <i r="1">
      <x v="11"/>
      <x v="63"/>
      <x v="1"/>
    </i>
    <i r="2">
      <x v="116"/>
      <x v="1"/>
    </i>
  </rowItems>
  <colItems count="1">
    <i/>
  </colItems>
  <formats count="244">
    <format dxfId="265">
      <pivotArea type="all" dataOnly="0" outline="0" fieldPosition="0"/>
    </format>
    <format dxfId="264">
      <pivotArea field="11" type="button" dataOnly="0" labelOnly="1" outline="0" axis="axisRow" fieldPosition="0"/>
    </format>
    <format dxfId="263">
      <pivotArea field="13" type="button" dataOnly="0" labelOnly="1" outline="0" axis="axisRow" fieldPosition="1"/>
    </format>
    <format dxfId="262">
      <pivotArea field="12" type="button" dataOnly="0" labelOnly="1" outline="0" axis="axisRow" fieldPosition="2"/>
    </format>
    <format dxfId="261">
      <pivotArea field="17" type="button" dataOnly="0" labelOnly="1" outline="0" axis="axisRow" fieldPosition="3"/>
    </format>
    <format dxfId="260">
      <pivotArea dataOnly="0" labelOnly="1" outline="0" fieldPosition="0">
        <references count="1">
          <reference field="11" count="3">
            <x v="0"/>
            <x v="3"/>
            <x v="4"/>
          </reference>
        </references>
      </pivotArea>
    </format>
    <format dxfId="259">
      <pivotArea dataOnly="0" labelOnly="1" outline="0" fieldPosition="0">
        <references count="2">
          <reference field="11" count="1" selected="0">
            <x v="0"/>
          </reference>
          <reference field="13" count="1">
            <x v="12"/>
          </reference>
        </references>
      </pivotArea>
    </format>
    <format dxfId="258">
      <pivotArea dataOnly="0" labelOnly="1" outline="0" fieldPosition="0">
        <references count="2">
          <reference field="11" count="1" selected="0">
            <x v="3"/>
          </reference>
          <reference field="13" count="3">
            <x v="2"/>
            <x v="6"/>
            <x v="11"/>
          </reference>
        </references>
      </pivotArea>
    </format>
    <format dxfId="257">
      <pivotArea dataOnly="0" labelOnly="1" outline="0" fieldPosition="0">
        <references count="2">
          <reference field="11" count="1" selected="0">
            <x v="4"/>
          </reference>
          <reference field="13" count="3">
            <x v="5"/>
            <x v="7"/>
            <x v="11"/>
          </reference>
        </references>
      </pivotArea>
    </format>
    <format dxfId="256">
      <pivotArea dataOnly="0" labelOnly="1" outline="0" fieldPosition="0">
        <references count="3">
          <reference field="11" count="1" selected="0">
            <x v="0"/>
          </reference>
          <reference field="12" count="1">
            <x v="50"/>
          </reference>
          <reference field="13" count="1" selected="0">
            <x v="12"/>
          </reference>
        </references>
      </pivotArea>
    </format>
    <format dxfId="255">
      <pivotArea dataOnly="0" labelOnly="1" outline="0" fieldPosition="0">
        <references count="3">
          <reference field="11" count="1" selected="0">
            <x v="3"/>
          </reference>
          <reference field="12" count="5">
            <x v="14"/>
            <x v="46"/>
            <x v="65"/>
            <x v="98"/>
            <x v="151"/>
          </reference>
          <reference field="13" count="1" selected="0">
            <x v="2"/>
          </reference>
        </references>
      </pivotArea>
    </format>
    <format dxfId="254">
      <pivotArea dataOnly="0" labelOnly="1" outline="0" fieldPosition="0">
        <references count="3">
          <reference field="11" count="1" selected="0">
            <x v="3"/>
          </reference>
          <reference field="12" count="1">
            <x v="149"/>
          </reference>
          <reference field="13" count="1" selected="0">
            <x v="6"/>
          </reference>
        </references>
      </pivotArea>
    </format>
    <format dxfId="253">
      <pivotArea dataOnly="0" labelOnly="1" outline="0" fieldPosition="0">
        <references count="3">
          <reference field="11" count="1" selected="0">
            <x v="3"/>
          </reference>
          <reference field="12" count="1">
            <x v="143"/>
          </reference>
          <reference field="13" count="1" selected="0">
            <x v="11"/>
          </reference>
        </references>
      </pivotArea>
    </format>
    <format dxfId="252">
      <pivotArea dataOnly="0" labelOnly="1" outline="0" fieldPosition="0">
        <references count="3">
          <reference field="11" count="1" selected="0">
            <x v="4"/>
          </reference>
          <reference field="12" count="4">
            <x v="48"/>
            <x v="75"/>
            <x v="100"/>
            <x v="103"/>
          </reference>
          <reference field="13" count="1" selected="0">
            <x v="5"/>
          </reference>
        </references>
      </pivotArea>
    </format>
    <format dxfId="251">
      <pivotArea dataOnly="0" labelOnly="1" outline="0" fieldPosition="0">
        <references count="3">
          <reference field="11" count="1" selected="0">
            <x v="4"/>
          </reference>
          <reference field="12" count="1">
            <x v="131"/>
          </reference>
          <reference field="13" count="1" selected="0">
            <x v="7"/>
          </reference>
        </references>
      </pivotArea>
    </format>
    <format dxfId="250">
      <pivotArea dataOnly="0" labelOnly="1" outline="0" fieldPosition="0">
        <references count="3">
          <reference field="11" count="1" selected="0">
            <x v="4"/>
          </reference>
          <reference field="12" count="2">
            <x v="63"/>
            <x v="116"/>
          </reference>
          <reference field="13" count="1" selected="0">
            <x v="11"/>
          </reference>
        </references>
      </pivotArea>
    </format>
    <format dxfId="249">
      <pivotArea dataOnly="0" labelOnly="1" outline="0" fieldPosition="0">
        <references count="4">
          <reference field="11" count="1" selected="0">
            <x v="0"/>
          </reference>
          <reference field="12" count="1" selected="0">
            <x v="50"/>
          </reference>
          <reference field="13" count="1" selected="0">
            <x v="12"/>
          </reference>
          <reference field="17" count="1">
            <x v="1"/>
          </reference>
        </references>
      </pivotArea>
    </format>
    <format dxfId="248">
      <pivotArea dataOnly="0" labelOnly="1" outline="0" fieldPosition="0">
        <references count="4">
          <reference field="11" count="1" selected="0">
            <x v="3"/>
          </reference>
          <reference field="12" count="1" selected="0">
            <x v="14"/>
          </reference>
          <reference field="13" count="1" selected="0">
            <x v="2"/>
          </reference>
          <reference field="17" count="1">
            <x v="1"/>
          </reference>
        </references>
      </pivotArea>
    </format>
    <format dxfId="247">
      <pivotArea dataOnly="0" labelOnly="1" outline="0" fieldPosition="0">
        <references count="4">
          <reference field="11" count="1" selected="0">
            <x v="3"/>
          </reference>
          <reference field="12" count="1" selected="0">
            <x v="46"/>
          </reference>
          <reference field="13" count="1" selected="0">
            <x v="2"/>
          </reference>
          <reference field="17" count="1">
            <x v="1"/>
          </reference>
        </references>
      </pivotArea>
    </format>
    <format dxfId="246">
      <pivotArea dataOnly="0" labelOnly="1" outline="0" fieldPosition="0">
        <references count="4">
          <reference field="11" count="1" selected="0">
            <x v="3"/>
          </reference>
          <reference field="12" count="1" selected="0">
            <x v="65"/>
          </reference>
          <reference field="13" count="1" selected="0">
            <x v="2"/>
          </reference>
          <reference field="17" count="1">
            <x v="2"/>
          </reference>
        </references>
      </pivotArea>
    </format>
    <format dxfId="245">
      <pivotArea dataOnly="0" labelOnly="1" outline="0" fieldPosition="0">
        <references count="4">
          <reference field="11" count="1" selected="0">
            <x v="3"/>
          </reference>
          <reference field="12" count="1" selected="0">
            <x v="98"/>
          </reference>
          <reference field="13" count="1" selected="0">
            <x v="2"/>
          </reference>
          <reference field="17" count="1">
            <x v="1"/>
          </reference>
        </references>
      </pivotArea>
    </format>
    <format dxfId="244">
      <pivotArea dataOnly="0" labelOnly="1" outline="0" fieldPosition="0">
        <references count="4">
          <reference field="11" count="1" selected="0">
            <x v="3"/>
          </reference>
          <reference field="12" count="1" selected="0">
            <x v="151"/>
          </reference>
          <reference field="13" count="1" selected="0">
            <x v="2"/>
          </reference>
          <reference field="17" count="1">
            <x v="1"/>
          </reference>
        </references>
      </pivotArea>
    </format>
    <format dxfId="243">
      <pivotArea dataOnly="0" labelOnly="1" outline="0" fieldPosition="0">
        <references count="4">
          <reference field="11" count="1" selected="0">
            <x v="3"/>
          </reference>
          <reference field="12" count="1" selected="0">
            <x v="149"/>
          </reference>
          <reference field="13" count="1" selected="0">
            <x v="6"/>
          </reference>
          <reference field="17" count="1">
            <x v="1"/>
          </reference>
        </references>
      </pivotArea>
    </format>
    <format dxfId="242">
      <pivotArea dataOnly="0" labelOnly="1" outline="0" fieldPosition="0">
        <references count="4">
          <reference field="11" count="1" selected="0">
            <x v="3"/>
          </reference>
          <reference field="12" count="1" selected="0">
            <x v="143"/>
          </reference>
          <reference field="13" count="1" selected="0">
            <x v="11"/>
          </reference>
          <reference field="17" count="1">
            <x v="0"/>
          </reference>
        </references>
      </pivotArea>
    </format>
    <format dxfId="241">
      <pivotArea dataOnly="0" labelOnly="1" outline="0" fieldPosition="0">
        <references count="4">
          <reference field="11" count="1" selected="0">
            <x v="4"/>
          </reference>
          <reference field="12" count="1" selected="0">
            <x v="48"/>
          </reference>
          <reference field="13" count="1" selected="0">
            <x v="5"/>
          </reference>
          <reference field="17" count="1">
            <x v="1"/>
          </reference>
        </references>
      </pivotArea>
    </format>
    <format dxfId="240">
      <pivotArea dataOnly="0" labelOnly="1" outline="0" fieldPosition="0">
        <references count="4">
          <reference field="11" count="1" selected="0">
            <x v="4"/>
          </reference>
          <reference field="12" count="1" selected="0">
            <x v="75"/>
          </reference>
          <reference field="13" count="1" selected="0">
            <x v="5"/>
          </reference>
          <reference field="17" count="1">
            <x v="2"/>
          </reference>
        </references>
      </pivotArea>
    </format>
    <format dxfId="239">
      <pivotArea dataOnly="0" labelOnly="1" outline="0" fieldPosition="0">
        <references count="4">
          <reference field="11" count="1" selected="0">
            <x v="4"/>
          </reference>
          <reference field="12" count="1" selected="0">
            <x v="100"/>
          </reference>
          <reference field="13" count="1" selected="0">
            <x v="5"/>
          </reference>
          <reference field="17" count="1">
            <x v="2"/>
          </reference>
        </references>
      </pivotArea>
    </format>
    <format dxfId="238">
      <pivotArea dataOnly="0" labelOnly="1" outline="0" fieldPosition="0">
        <references count="4">
          <reference field="11" count="1" selected="0">
            <x v="4"/>
          </reference>
          <reference field="12" count="1" selected="0">
            <x v="103"/>
          </reference>
          <reference field="13" count="1" selected="0">
            <x v="5"/>
          </reference>
          <reference field="17" count="1">
            <x v="4"/>
          </reference>
        </references>
      </pivotArea>
    </format>
    <format dxfId="237">
      <pivotArea dataOnly="0" labelOnly="1" outline="0" fieldPosition="0">
        <references count="4">
          <reference field="11" count="1" selected="0">
            <x v="4"/>
          </reference>
          <reference field="12" count="1" selected="0">
            <x v="131"/>
          </reference>
          <reference field="13" count="1" selected="0">
            <x v="7"/>
          </reference>
          <reference field="17" count="1">
            <x v="4"/>
          </reference>
        </references>
      </pivotArea>
    </format>
    <format dxfId="236">
      <pivotArea dataOnly="0" labelOnly="1" outline="0" fieldPosition="0">
        <references count="4">
          <reference field="11" count="1" selected="0">
            <x v="4"/>
          </reference>
          <reference field="12" count="1" selected="0">
            <x v="63"/>
          </reference>
          <reference field="13" count="1" selected="0">
            <x v="11"/>
          </reference>
          <reference field="17" count="1">
            <x v="1"/>
          </reference>
        </references>
      </pivotArea>
    </format>
    <format dxfId="235">
      <pivotArea dataOnly="0" labelOnly="1" outline="0" fieldPosition="0">
        <references count="4">
          <reference field="11" count="1" selected="0">
            <x v="4"/>
          </reference>
          <reference field="12" count="1" selected="0">
            <x v="116"/>
          </reference>
          <reference field="13" count="1" selected="0">
            <x v="11"/>
          </reference>
          <reference field="17" count="1">
            <x v="1"/>
          </reference>
        </references>
      </pivotArea>
    </format>
    <format dxfId="234">
      <pivotArea dataOnly="0" labelOnly="1" outline="0" fieldPosition="0">
        <references count="1">
          <reference field="11" count="1">
            <x v="0"/>
          </reference>
        </references>
      </pivotArea>
    </format>
    <format dxfId="233">
      <pivotArea dataOnly="0" labelOnly="1" outline="0" fieldPosition="0">
        <references count="1">
          <reference field="11" count="1">
            <x v="3"/>
          </reference>
        </references>
      </pivotArea>
    </format>
    <format dxfId="232">
      <pivotArea dataOnly="0" labelOnly="1" outline="0" fieldPosition="0">
        <references count="1">
          <reference field="11" count="1">
            <x v="4"/>
          </reference>
        </references>
      </pivotArea>
    </format>
    <format dxfId="231">
      <pivotArea dataOnly="0" labelOnly="1" outline="0" fieldPosition="0">
        <references count="2">
          <reference field="11" count="1" selected="0">
            <x v="4"/>
          </reference>
          <reference field="13" count="1">
            <x v="11"/>
          </reference>
        </references>
      </pivotArea>
    </format>
    <format dxfId="230">
      <pivotArea dataOnly="0" labelOnly="1" outline="0" fieldPosition="0">
        <references count="2">
          <reference field="11" count="1" selected="0">
            <x v="4"/>
          </reference>
          <reference field="13" count="1">
            <x v="7"/>
          </reference>
        </references>
      </pivotArea>
    </format>
    <format dxfId="229">
      <pivotArea dataOnly="0" labelOnly="1" outline="0" fieldPosition="0">
        <references count="3">
          <reference field="11" count="1" selected="0">
            <x v="0"/>
          </reference>
          <reference field="12" count="1">
            <x v="50"/>
          </reference>
          <reference field="13" count="1" selected="0">
            <x v="12"/>
          </reference>
        </references>
      </pivotArea>
    </format>
    <format dxfId="228">
      <pivotArea dataOnly="0" labelOnly="1" outline="0" fieldPosition="0">
        <references count="3">
          <reference field="11" count="1" selected="0">
            <x v="3"/>
          </reference>
          <reference field="12" count="5">
            <x v="14"/>
            <x v="46"/>
            <x v="65"/>
            <x v="98"/>
            <x v="151"/>
          </reference>
          <reference field="13" count="1" selected="0">
            <x v="2"/>
          </reference>
        </references>
      </pivotArea>
    </format>
    <format dxfId="227">
      <pivotArea dataOnly="0" labelOnly="1" outline="0" fieldPosition="0">
        <references count="3">
          <reference field="11" count="1" selected="0">
            <x v="3"/>
          </reference>
          <reference field="12" count="1">
            <x v="149"/>
          </reference>
          <reference field="13" count="1" selected="0">
            <x v="6"/>
          </reference>
        </references>
      </pivotArea>
    </format>
    <format dxfId="226">
      <pivotArea dataOnly="0" labelOnly="1" outline="0" fieldPosition="0">
        <references count="3">
          <reference field="11" count="1" selected="0">
            <x v="3"/>
          </reference>
          <reference field="12" count="1">
            <x v="143"/>
          </reference>
          <reference field="13" count="1" selected="0">
            <x v="11"/>
          </reference>
        </references>
      </pivotArea>
    </format>
    <format dxfId="225">
      <pivotArea dataOnly="0" labelOnly="1" outline="0" fieldPosition="0">
        <references count="3">
          <reference field="11" count="1" selected="0">
            <x v="4"/>
          </reference>
          <reference field="12" count="4">
            <x v="48"/>
            <x v="75"/>
            <x v="100"/>
            <x v="103"/>
          </reference>
          <reference field="13" count="1" selected="0">
            <x v="5"/>
          </reference>
        </references>
      </pivotArea>
    </format>
    <format dxfId="224">
      <pivotArea dataOnly="0" labelOnly="1" outline="0" fieldPosition="0">
        <references count="3">
          <reference field="11" count="1" selected="0">
            <x v="4"/>
          </reference>
          <reference field="12" count="1">
            <x v="131"/>
          </reference>
          <reference field="13" count="1" selected="0">
            <x v="7"/>
          </reference>
        </references>
      </pivotArea>
    </format>
    <format dxfId="223">
      <pivotArea dataOnly="0" labelOnly="1" outline="0" fieldPosition="0">
        <references count="3">
          <reference field="11" count="1" selected="0">
            <x v="4"/>
          </reference>
          <reference field="12" count="2">
            <x v="63"/>
            <x v="116"/>
          </reference>
          <reference field="13" count="1" selected="0">
            <x v="11"/>
          </reference>
        </references>
      </pivotArea>
    </format>
    <format dxfId="222">
      <pivotArea dataOnly="0" labelOnly="1" outline="0" fieldPosition="0">
        <references count="4">
          <reference field="11" count="1" selected="0">
            <x v="0"/>
          </reference>
          <reference field="12" count="1" selected="0">
            <x v="50"/>
          </reference>
          <reference field="13" count="1" selected="0">
            <x v="12"/>
          </reference>
          <reference field="17" count="1">
            <x v="1"/>
          </reference>
        </references>
      </pivotArea>
    </format>
    <format dxfId="221">
      <pivotArea dataOnly="0" labelOnly="1" outline="0" fieldPosition="0">
        <references count="4">
          <reference field="11" count="1" selected="0">
            <x v="3"/>
          </reference>
          <reference field="12" count="1" selected="0">
            <x v="14"/>
          </reference>
          <reference field="13" count="1" selected="0">
            <x v="2"/>
          </reference>
          <reference field="17" count="1">
            <x v="1"/>
          </reference>
        </references>
      </pivotArea>
    </format>
    <format dxfId="220">
      <pivotArea dataOnly="0" labelOnly="1" outline="0" fieldPosition="0">
        <references count="4">
          <reference field="11" count="1" selected="0">
            <x v="3"/>
          </reference>
          <reference field="12" count="1" selected="0">
            <x v="46"/>
          </reference>
          <reference field="13" count="1" selected="0">
            <x v="2"/>
          </reference>
          <reference field="17" count="1">
            <x v="1"/>
          </reference>
        </references>
      </pivotArea>
    </format>
    <format dxfId="219">
      <pivotArea dataOnly="0" labelOnly="1" outline="0" fieldPosition="0">
        <references count="4">
          <reference field="11" count="1" selected="0">
            <x v="3"/>
          </reference>
          <reference field="12" count="1" selected="0">
            <x v="65"/>
          </reference>
          <reference field="13" count="1" selected="0">
            <x v="2"/>
          </reference>
          <reference field="17" count="1">
            <x v="2"/>
          </reference>
        </references>
      </pivotArea>
    </format>
    <format dxfId="218">
      <pivotArea dataOnly="0" labelOnly="1" outline="0" fieldPosition="0">
        <references count="4">
          <reference field="11" count="1" selected="0">
            <x v="3"/>
          </reference>
          <reference field="12" count="1" selected="0">
            <x v="98"/>
          </reference>
          <reference field="13" count="1" selected="0">
            <x v="2"/>
          </reference>
          <reference field="17" count="1">
            <x v="1"/>
          </reference>
        </references>
      </pivotArea>
    </format>
    <format dxfId="217">
      <pivotArea dataOnly="0" labelOnly="1" outline="0" fieldPosition="0">
        <references count="4">
          <reference field="11" count="1" selected="0">
            <x v="3"/>
          </reference>
          <reference field="12" count="1" selected="0">
            <x v="151"/>
          </reference>
          <reference field="13" count="1" selected="0">
            <x v="2"/>
          </reference>
          <reference field="17" count="1">
            <x v="1"/>
          </reference>
        </references>
      </pivotArea>
    </format>
    <format dxfId="216">
      <pivotArea dataOnly="0" labelOnly="1" outline="0" fieldPosition="0">
        <references count="4">
          <reference field="11" count="1" selected="0">
            <x v="3"/>
          </reference>
          <reference field="12" count="1" selected="0">
            <x v="149"/>
          </reference>
          <reference field="13" count="1" selected="0">
            <x v="6"/>
          </reference>
          <reference field="17" count="1">
            <x v="1"/>
          </reference>
        </references>
      </pivotArea>
    </format>
    <format dxfId="215">
      <pivotArea dataOnly="0" labelOnly="1" outline="0" fieldPosition="0">
        <references count="4">
          <reference field="11" count="1" selected="0">
            <x v="3"/>
          </reference>
          <reference field="12" count="1" selected="0">
            <x v="143"/>
          </reference>
          <reference field="13" count="1" selected="0">
            <x v="11"/>
          </reference>
          <reference field="17" count="1">
            <x v="0"/>
          </reference>
        </references>
      </pivotArea>
    </format>
    <format dxfId="214">
      <pivotArea dataOnly="0" labelOnly="1" outline="0" fieldPosition="0">
        <references count="4">
          <reference field="11" count="1" selected="0">
            <x v="4"/>
          </reference>
          <reference field="12" count="1" selected="0">
            <x v="48"/>
          </reference>
          <reference field="13" count="1" selected="0">
            <x v="5"/>
          </reference>
          <reference field="17" count="1">
            <x v="1"/>
          </reference>
        </references>
      </pivotArea>
    </format>
    <format dxfId="213">
      <pivotArea dataOnly="0" labelOnly="1" outline="0" fieldPosition="0">
        <references count="4">
          <reference field="11" count="1" selected="0">
            <x v="4"/>
          </reference>
          <reference field="12" count="1" selected="0">
            <x v="75"/>
          </reference>
          <reference field="13" count="1" selected="0">
            <x v="5"/>
          </reference>
          <reference field="17" count="1">
            <x v="2"/>
          </reference>
        </references>
      </pivotArea>
    </format>
    <format dxfId="212">
      <pivotArea dataOnly="0" labelOnly="1" outline="0" fieldPosition="0">
        <references count="4">
          <reference field="11" count="1" selected="0">
            <x v="4"/>
          </reference>
          <reference field="12" count="1" selected="0">
            <x v="100"/>
          </reference>
          <reference field="13" count="1" selected="0">
            <x v="5"/>
          </reference>
          <reference field="17" count="1">
            <x v="2"/>
          </reference>
        </references>
      </pivotArea>
    </format>
    <format dxfId="211">
      <pivotArea dataOnly="0" labelOnly="1" outline="0" fieldPosition="0">
        <references count="4">
          <reference field="11" count="1" selected="0">
            <x v="4"/>
          </reference>
          <reference field="12" count="1" selected="0">
            <x v="103"/>
          </reference>
          <reference field="13" count="1" selected="0">
            <x v="5"/>
          </reference>
          <reference field="17" count="1">
            <x v="4"/>
          </reference>
        </references>
      </pivotArea>
    </format>
    <format dxfId="210">
      <pivotArea dataOnly="0" labelOnly="1" outline="0" fieldPosition="0">
        <references count="4">
          <reference field="11" count="1" selected="0">
            <x v="4"/>
          </reference>
          <reference field="12" count="1" selected="0">
            <x v="131"/>
          </reference>
          <reference field="13" count="1" selected="0">
            <x v="7"/>
          </reference>
          <reference field="17" count="1">
            <x v="4"/>
          </reference>
        </references>
      </pivotArea>
    </format>
    <format dxfId="209">
      <pivotArea dataOnly="0" labelOnly="1" outline="0" fieldPosition="0">
        <references count="4">
          <reference field="11" count="1" selected="0">
            <x v="4"/>
          </reference>
          <reference field="12" count="1" selected="0">
            <x v="63"/>
          </reference>
          <reference field="13" count="1" selected="0">
            <x v="11"/>
          </reference>
          <reference field="17" count="1">
            <x v="1"/>
          </reference>
        </references>
      </pivotArea>
    </format>
    <format dxfId="208">
      <pivotArea dataOnly="0" labelOnly="1" outline="0" fieldPosition="0">
        <references count="4">
          <reference field="11" count="1" selected="0">
            <x v="4"/>
          </reference>
          <reference field="12" count="1" selected="0">
            <x v="116"/>
          </reference>
          <reference field="13" count="1" selected="0">
            <x v="11"/>
          </reference>
          <reference field="17" count="1">
            <x v="1"/>
          </reference>
        </references>
      </pivotArea>
    </format>
    <format dxfId="207">
      <pivotArea dataOnly="0" labelOnly="1" outline="0" fieldPosition="0">
        <references count="2">
          <reference field="11" count="1" selected="0">
            <x v="4"/>
          </reference>
          <reference field="13" count="1">
            <x v="5"/>
          </reference>
        </references>
      </pivotArea>
    </format>
    <format dxfId="206">
      <pivotArea dataOnly="0" labelOnly="1" outline="0" fieldPosition="0">
        <references count="2">
          <reference field="11" count="1" selected="0">
            <x v="3"/>
          </reference>
          <reference field="13" count="1">
            <x v="11"/>
          </reference>
        </references>
      </pivotArea>
    </format>
    <format dxfId="205">
      <pivotArea dataOnly="0" labelOnly="1" outline="0" fieldPosition="0">
        <references count="2">
          <reference field="11" count="1" selected="0">
            <x v="3"/>
          </reference>
          <reference field="13" count="1">
            <x v="6"/>
          </reference>
        </references>
      </pivotArea>
    </format>
    <format dxfId="204">
      <pivotArea dataOnly="0" labelOnly="1" outline="0" fieldPosition="0">
        <references count="2">
          <reference field="11" count="1" selected="0">
            <x v="3"/>
          </reference>
          <reference field="13" count="1">
            <x v="2"/>
          </reference>
        </references>
      </pivotArea>
    </format>
    <format dxfId="203">
      <pivotArea dataOnly="0" labelOnly="1" outline="0" fieldPosition="0">
        <references count="2">
          <reference field="11" count="1" selected="0">
            <x v="0"/>
          </reference>
          <reference field="13" count="2">
            <x v="0"/>
            <x v="12"/>
          </reference>
        </references>
      </pivotArea>
    </format>
    <format dxfId="202">
      <pivotArea dataOnly="0" labelOnly="1" outline="0" fieldPosition="0">
        <references count="3">
          <reference field="11" count="1" selected="0">
            <x v="0"/>
          </reference>
          <reference field="12" count="1">
            <x v="129"/>
          </reference>
          <reference field="13" count="1" selected="0">
            <x v="0"/>
          </reference>
        </references>
      </pivotArea>
    </format>
    <format dxfId="201">
      <pivotArea dataOnly="0" labelOnly="1" outline="0" fieldPosition="0">
        <references count="3">
          <reference field="11" count="1" selected="0">
            <x v="0"/>
          </reference>
          <reference field="12" count="11">
            <x v="17"/>
            <x v="19"/>
            <x v="66"/>
            <x v="69"/>
            <x v="76"/>
            <x v="89"/>
            <x v="97"/>
            <x v="122"/>
            <x v="141"/>
            <x v="153"/>
            <x v="155"/>
          </reference>
          <reference field="13" count="1" selected="0">
            <x v="12"/>
          </reference>
        </references>
      </pivotArea>
    </format>
    <format dxfId="200">
      <pivotArea dataOnly="0" labelOnly="1" outline="0" fieldPosition="0">
        <references count="3">
          <reference field="11" count="1" selected="0">
            <x v="1"/>
          </reference>
          <reference field="12" count="4">
            <x v="56"/>
            <x v="82"/>
            <x v="118"/>
            <x v="123"/>
          </reference>
          <reference field="13" count="1" selected="0">
            <x v="4"/>
          </reference>
        </references>
      </pivotArea>
    </format>
    <format dxfId="199">
      <pivotArea dataOnly="0" labelOnly="1" outline="0" fieldPosition="0">
        <references count="3">
          <reference field="11" count="1" selected="0">
            <x v="2"/>
          </reference>
          <reference field="12" count="39">
            <x v="0"/>
            <x v="3"/>
            <x v="4"/>
            <x v="5"/>
            <x v="8"/>
            <x v="9"/>
            <x v="10"/>
            <x v="18"/>
            <x v="20"/>
            <x v="24"/>
            <x v="26"/>
            <x v="27"/>
            <x v="29"/>
            <x v="30"/>
            <x v="35"/>
            <x v="36"/>
            <x v="45"/>
            <x v="49"/>
            <x v="68"/>
            <x v="70"/>
            <x v="73"/>
            <x v="88"/>
            <x v="101"/>
            <x v="108"/>
            <x v="109"/>
            <x v="115"/>
            <x v="120"/>
            <x v="126"/>
            <x v="127"/>
            <x v="128"/>
            <x v="133"/>
            <x v="134"/>
            <x v="147"/>
            <x v="152"/>
            <x v="154"/>
            <x v="156"/>
            <x v="157"/>
            <x v="162"/>
            <x v="163"/>
          </reference>
          <reference field="13" count="1" selected="0">
            <x v="6"/>
          </reference>
        </references>
      </pivotArea>
    </format>
    <format dxfId="198">
      <pivotArea dataOnly="0" labelOnly="1" outline="0" fieldPosition="0">
        <references count="3">
          <reference field="11" count="1" selected="0">
            <x v="2"/>
          </reference>
          <reference field="12" count="1">
            <x v="95"/>
          </reference>
          <reference field="13" count="1" selected="0">
            <x v="11"/>
          </reference>
        </references>
      </pivotArea>
    </format>
    <format dxfId="197">
      <pivotArea dataOnly="0" labelOnly="1" outline="0" fieldPosition="0">
        <references count="3">
          <reference field="11" count="1" selected="0">
            <x v="3"/>
          </reference>
          <reference field="12" count="40">
            <x v="1"/>
            <x v="2"/>
            <x v="6"/>
            <x v="21"/>
            <x v="22"/>
            <x v="25"/>
            <x v="28"/>
            <x v="33"/>
            <x v="37"/>
            <x v="38"/>
            <x v="42"/>
            <x v="44"/>
            <x v="52"/>
            <x v="53"/>
            <x v="55"/>
            <x v="58"/>
            <x v="61"/>
            <x v="64"/>
            <x v="67"/>
            <x v="71"/>
            <x v="72"/>
            <x v="77"/>
            <x v="80"/>
            <x v="90"/>
            <x v="93"/>
            <x v="94"/>
            <x v="99"/>
            <x v="102"/>
            <x v="110"/>
            <x v="111"/>
            <x v="112"/>
            <x v="114"/>
            <x v="119"/>
            <x v="125"/>
            <x v="132"/>
            <x v="137"/>
            <x v="142"/>
            <x v="144"/>
            <x v="146"/>
            <x v="160"/>
          </reference>
          <reference field="13" count="1" selected="0">
            <x v="2"/>
          </reference>
        </references>
      </pivotArea>
    </format>
    <format dxfId="196">
      <pivotArea dataOnly="0" labelOnly="1" outline="0" fieldPosition="0">
        <references count="3">
          <reference field="11" count="1" selected="0">
            <x v="3"/>
          </reference>
          <reference field="12" count="5">
            <x v="16"/>
            <x v="34"/>
            <x v="104"/>
            <x v="140"/>
            <x v="150"/>
          </reference>
          <reference field="13" count="1" selected="0">
            <x v="6"/>
          </reference>
        </references>
      </pivotArea>
    </format>
    <format dxfId="195">
      <pivotArea dataOnly="0" labelOnly="1" outline="0" fieldPosition="0">
        <references count="3">
          <reference field="11" count="1" selected="0">
            <x v="4"/>
          </reference>
          <reference field="12" count="1">
            <x v="164"/>
          </reference>
          <reference field="13" count="1" selected="0">
            <x v="1"/>
          </reference>
        </references>
      </pivotArea>
    </format>
    <format dxfId="194">
      <pivotArea dataOnly="0" labelOnly="1" outline="0" fieldPosition="0">
        <references count="3">
          <reference field="11" count="1" selected="0">
            <x v="4"/>
          </reference>
          <reference field="12" count="4">
            <x v="59"/>
            <x v="78"/>
            <x v="139"/>
            <x v="158"/>
          </reference>
          <reference field="13" count="1" selected="0">
            <x v="2"/>
          </reference>
        </references>
      </pivotArea>
    </format>
    <format dxfId="193">
      <pivotArea dataOnly="0" labelOnly="1" outline="0" fieldPosition="0">
        <references count="3">
          <reference field="11" count="1" selected="0">
            <x v="4"/>
          </reference>
          <reference field="12" count="6">
            <x v="31"/>
            <x v="43"/>
            <x v="54"/>
            <x v="62"/>
            <x v="83"/>
            <x v="86"/>
          </reference>
          <reference field="13" count="1" selected="0">
            <x v="3"/>
          </reference>
        </references>
      </pivotArea>
    </format>
    <format dxfId="192">
      <pivotArea dataOnly="0" labelOnly="1" outline="0" fieldPosition="0">
        <references count="3">
          <reference field="11" count="1" selected="0">
            <x v="4"/>
          </reference>
          <reference field="12" count="9">
            <x v="12"/>
            <x v="32"/>
            <x v="39"/>
            <x v="40"/>
            <x v="47"/>
            <x v="84"/>
            <x v="130"/>
            <x v="138"/>
            <x v="161"/>
          </reference>
          <reference field="13" count="1" selected="0">
            <x v="5"/>
          </reference>
        </references>
      </pivotArea>
    </format>
    <format dxfId="191">
      <pivotArea dataOnly="0" labelOnly="1" outline="0" fieldPosition="0">
        <references count="3">
          <reference field="11" count="1" selected="0">
            <x v="4"/>
          </reference>
          <reference field="12" count="2">
            <x v="87"/>
            <x v="92"/>
          </reference>
          <reference field="13" count="1" selected="0">
            <x v="7"/>
          </reference>
        </references>
      </pivotArea>
    </format>
    <format dxfId="190">
      <pivotArea dataOnly="0" labelOnly="1" outline="0" fieldPosition="0">
        <references count="3">
          <reference field="11" count="1" selected="0">
            <x v="4"/>
          </reference>
          <reference field="12" count="5">
            <x v="23"/>
            <x v="60"/>
            <x v="81"/>
            <x v="117"/>
            <x v="159"/>
          </reference>
          <reference field="13" count="1" selected="0">
            <x v="8"/>
          </reference>
        </references>
      </pivotArea>
    </format>
    <format dxfId="189">
      <pivotArea dataOnly="0" labelOnly="1" outline="0" fieldPosition="0">
        <references count="3">
          <reference field="11" count="1" selected="0">
            <x v="4"/>
          </reference>
          <reference field="12" count="1">
            <x v="51"/>
          </reference>
          <reference field="13" count="1" selected="0">
            <x v="9"/>
          </reference>
        </references>
      </pivotArea>
    </format>
    <format dxfId="188">
      <pivotArea dataOnly="0" labelOnly="1" outline="0" fieldPosition="0">
        <references count="3">
          <reference field="11" count="1" selected="0">
            <x v="4"/>
          </reference>
          <reference field="12" count="4">
            <x v="11"/>
            <x v="113"/>
            <x v="121"/>
            <x v="145"/>
          </reference>
          <reference field="13" count="1" selected="0">
            <x v="10"/>
          </reference>
        </references>
      </pivotArea>
    </format>
    <format dxfId="187">
      <pivotArea dataOnly="0" labelOnly="1" outline="0" fieldPosition="0">
        <references count="3">
          <reference field="11" count="1" selected="0">
            <x v="4"/>
          </reference>
          <reference field="12" count="16">
            <x v="7"/>
            <x v="13"/>
            <x v="15"/>
            <x v="41"/>
            <x v="74"/>
            <x v="79"/>
            <x v="85"/>
            <x v="91"/>
            <x v="96"/>
            <x v="105"/>
            <x v="106"/>
            <x v="124"/>
            <x v="135"/>
            <x v="136"/>
            <x v="148"/>
            <x v="165"/>
          </reference>
          <reference field="13" count="1" selected="0">
            <x v="11"/>
          </reference>
        </references>
      </pivotArea>
    </format>
    <format dxfId="186">
      <pivotArea dataOnly="0" labelOnly="1" outline="0" fieldPosition="0">
        <references count="3">
          <reference field="11" count="1" selected="0">
            <x v="4"/>
          </reference>
          <reference field="12" count="2">
            <x v="57"/>
            <x v="107"/>
          </reference>
          <reference field="13" count="1" selected="0">
            <x v="12"/>
          </reference>
        </references>
      </pivotArea>
    </format>
    <format dxfId="185">
      <pivotArea dataOnly="0" labelOnly="1" outline="0" fieldPosition="0">
        <references count="4">
          <reference field="11" count="1" selected="0">
            <x v="0"/>
          </reference>
          <reference field="12" count="1" selected="0">
            <x v="129"/>
          </reference>
          <reference field="13" count="1" selected="0">
            <x v="0"/>
          </reference>
          <reference field="17" count="1">
            <x v="4"/>
          </reference>
        </references>
      </pivotArea>
    </format>
    <format dxfId="184">
      <pivotArea dataOnly="0" labelOnly="1" outline="0" fieldPosition="0">
        <references count="4">
          <reference field="11" count="1" selected="0">
            <x v="0"/>
          </reference>
          <reference field="12" count="1" selected="0">
            <x v="17"/>
          </reference>
          <reference field="13" count="1" selected="0">
            <x v="12"/>
          </reference>
          <reference field="17" count="1">
            <x v="2"/>
          </reference>
        </references>
      </pivotArea>
    </format>
    <format dxfId="183">
      <pivotArea dataOnly="0" labelOnly="1" outline="0" fieldPosition="0">
        <references count="4">
          <reference field="11" count="1" selected="0">
            <x v="0"/>
          </reference>
          <reference field="12" count="1" selected="0">
            <x v="19"/>
          </reference>
          <reference field="13" count="1" selected="0">
            <x v="12"/>
          </reference>
          <reference field="17" count="1">
            <x v="4"/>
          </reference>
        </references>
      </pivotArea>
    </format>
    <format dxfId="182">
      <pivotArea dataOnly="0" labelOnly="1" outline="0" fieldPosition="0">
        <references count="4">
          <reference field="11" count="1" selected="0">
            <x v="0"/>
          </reference>
          <reference field="12" count="1" selected="0">
            <x v="66"/>
          </reference>
          <reference field="13" count="1" selected="0">
            <x v="12"/>
          </reference>
          <reference field="17" count="1">
            <x v="2"/>
          </reference>
        </references>
      </pivotArea>
    </format>
    <format dxfId="181">
      <pivotArea dataOnly="0" labelOnly="1" outline="0" fieldPosition="0">
        <references count="4">
          <reference field="11" count="1" selected="0">
            <x v="0"/>
          </reference>
          <reference field="12" count="1" selected="0">
            <x v="69"/>
          </reference>
          <reference field="13" count="1" selected="0">
            <x v="12"/>
          </reference>
          <reference field="17" count="1">
            <x v="2"/>
          </reference>
        </references>
      </pivotArea>
    </format>
    <format dxfId="180">
      <pivotArea dataOnly="0" labelOnly="1" outline="0" fieldPosition="0">
        <references count="4">
          <reference field="11" count="1" selected="0">
            <x v="0"/>
          </reference>
          <reference field="12" count="1" selected="0">
            <x v="76"/>
          </reference>
          <reference field="13" count="1" selected="0">
            <x v="12"/>
          </reference>
          <reference field="17" count="1">
            <x v="2"/>
          </reference>
        </references>
      </pivotArea>
    </format>
    <format dxfId="179">
      <pivotArea dataOnly="0" labelOnly="1" outline="0" fieldPosition="0">
        <references count="4">
          <reference field="11" count="1" selected="0">
            <x v="0"/>
          </reference>
          <reference field="12" count="1" selected="0">
            <x v="89"/>
          </reference>
          <reference field="13" count="1" selected="0">
            <x v="12"/>
          </reference>
          <reference field="17" count="1">
            <x v="4"/>
          </reference>
        </references>
      </pivotArea>
    </format>
    <format dxfId="178">
      <pivotArea dataOnly="0" labelOnly="1" outline="0" fieldPosition="0">
        <references count="4">
          <reference field="11" count="1" selected="0">
            <x v="0"/>
          </reference>
          <reference field="12" count="1" selected="0">
            <x v="97"/>
          </reference>
          <reference field="13" count="1" selected="0">
            <x v="12"/>
          </reference>
          <reference field="17" count="1">
            <x v="4"/>
          </reference>
        </references>
      </pivotArea>
    </format>
    <format dxfId="177">
      <pivotArea dataOnly="0" labelOnly="1" outline="0" fieldPosition="0">
        <references count="4">
          <reference field="11" count="1" selected="0">
            <x v="0"/>
          </reference>
          <reference field="12" count="1" selected="0">
            <x v="122"/>
          </reference>
          <reference field="13" count="1" selected="0">
            <x v="12"/>
          </reference>
          <reference field="17" count="1">
            <x v="1"/>
          </reference>
        </references>
      </pivotArea>
    </format>
    <format dxfId="176">
      <pivotArea dataOnly="0" labelOnly="1" outline="0" fieldPosition="0">
        <references count="4">
          <reference field="11" count="1" selected="0">
            <x v="0"/>
          </reference>
          <reference field="12" count="1" selected="0">
            <x v="141"/>
          </reference>
          <reference field="13" count="1" selected="0">
            <x v="12"/>
          </reference>
          <reference field="17" count="1">
            <x v="4"/>
          </reference>
        </references>
      </pivotArea>
    </format>
    <format dxfId="175">
      <pivotArea dataOnly="0" labelOnly="1" outline="0" fieldPosition="0">
        <references count="4">
          <reference field="11" count="1" selected="0">
            <x v="0"/>
          </reference>
          <reference field="12" count="1" selected="0">
            <x v="153"/>
          </reference>
          <reference field="13" count="1" selected="0">
            <x v="12"/>
          </reference>
          <reference field="17" count="1">
            <x v="3"/>
          </reference>
        </references>
      </pivotArea>
    </format>
    <format dxfId="174">
      <pivotArea dataOnly="0" labelOnly="1" outline="0" fieldPosition="0">
        <references count="4">
          <reference field="11" count="1" selected="0">
            <x v="0"/>
          </reference>
          <reference field="12" count="1" selected="0">
            <x v="155"/>
          </reference>
          <reference field="13" count="1" selected="0">
            <x v="12"/>
          </reference>
          <reference field="17" count="1">
            <x v="4"/>
          </reference>
        </references>
      </pivotArea>
    </format>
    <format dxfId="173">
      <pivotArea dataOnly="0" labelOnly="1" outline="0" fieldPosition="0">
        <references count="4">
          <reference field="11" count="1" selected="0">
            <x v="1"/>
          </reference>
          <reference field="12" count="1" selected="0">
            <x v="56"/>
          </reference>
          <reference field="13" count="1" selected="0">
            <x v="4"/>
          </reference>
          <reference field="17" count="1">
            <x v="2"/>
          </reference>
        </references>
      </pivotArea>
    </format>
    <format dxfId="172">
      <pivotArea dataOnly="0" labelOnly="1" outline="0" fieldPosition="0">
        <references count="4">
          <reference field="11" count="1" selected="0">
            <x v="1"/>
          </reference>
          <reference field="12" count="1" selected="0">
            <x v="82"/>
          </reference>
          <reference field="13" count="1" selected="0">
            <x v="4"/>
          </reference>
          <reference field="17" count="1">
            <x v="2"/>
          </reference>
        </references>
      </pivotArea>
    </format>
    <format dxfId="171">
      <pivotArea dataOnly="0" labelOnly="1" outline="0" fieldPosition="0">
        <references count="4">
          <reference field="11" count="1" selected="0">
            <x v="1"/>
          </reference>
          <reference field="12" count="1" selected="0">
            <x v="118"/>
          </reference>
          <reference field="13" count="1" selected="0">
            <x v="4"/>
          </reference>
          <reference field="17" count="1">
            <x v="4"/>
          </reference>
        </references>
      </pivotArea>
    </format>
    <format dxfId="170">
      <pivotArea dataOnly="0" labelOnly="1" outline="0" fieldPosition="0">
        <references count="4">
          <reference field="11" count="1" selected="0">
            <x v="1"/>
          </reference>
          <reference field="12" count="1" selected="0">
            <x v="123"/>
          </reference>
          <reference field="13" count="1" selected="0">
            <x v="4"/>
          </reference>
          <reference field="17" count="1">
            <x v="3"/>
          </reference>
        </references>
      </pivotArea>
    </format>
    <format dxfId="169">
      <pivotArea dataOnly="0" labelOnly="1" outline="0" fieldPosition="0">
        <references count="4">
          <reference field="11" count="1" selected="0">
            <x v="2"/>
          </reference>
          <reference field="12" count="1" selected="0">
            <x v="0"/>
          </reference>
          <reference field="13" count="1" selected="0">
            <x v="6"/>
          </reference>
          <reference field="17" count="1">
            <x v="3"/>
          </reference>
        </references>
      </pivotArea>
    </format>
    <format dxfId="168">
      <pivotArea dataOnly="0" labelOnly="1" outline="0" fieldPosition="0">
        <references count="4">
          <reference field="11" count="1" selected="0">
            <x v="2"/>
          </reference>
          <reference field="12" count="1" selected="0">
            <x v="3"/>
          </reference>
          <reference field="13" count="1" selected="0">
            <x v="6"/>
          </reference>
          <reference field="17" count="1">
            <x v="4"/>
          </reference>
        </references>
      </pivotArea>
    </format>
    <format dxfId="167">
      <pivotArea dataOnly="0" labelOnly="1" outline="0" fieldPosition="0">
        <references count="4">
          <reference field="11" count="1" selected="0">
            <x v="2"/>
          </reference>
          <reference field="12" count="1" selected="0">
            <x v="4"/>
          </reference>
          <reference field="13" count="1" selected="0">
            <x v="6"/>
          </reference>
          <reference field="17" count="1">
            <x v="2"/>
          </reference>
        </references>
      </pivotArea>
    </format>
    <format dxfId="166">
      <pivotArea dataOnly="0" labelOnly="1" outline="0" fieldPosition="0">
        <references count="4">
          <reference field="11" count="1" selected="0">
            <x v="2"/>
          </reference>
          <reference field="12" count="1" selected="0">
            <x v="5"/>
          </reference>
          <reference field="13" count="1" selected="0">
            <x v="6"/>
          </reference>
          <reference field="17" count="1">
            <x v="3"/>
          </reference>
        </references>
      </pivotArea>
    </format>
    <format dxfId="165">
      <pivotArea dataOnly="0" labelOnly="1" outline="0" fieldPosition="0">
        <references count="4">
          <reference field="11" count="1" selected="0">
            <x v="2"/>
          </reference>
          <reference field="12" count="1" selected="0">
            <x v="8"/>
          </reference>
          <reference field="13" count="1" selected="0">
            <x v="6"/>
          </reference>
          <reference field="17" count="1">
            <x v="4"/>
          </reference>
        </references>
      </pivotArea>
    </format>
    <format dxfId="164">
      <pivotArea dataOnly="0" labelOnly="1" outline="0" fieldPosition="0">
        <references count="4">
          <reference field="11" count="1" selected="0">
            <x v="2"/>
          </reference>
          <reference field="12" count="1" selected="0">
            <x v="9"/>
          </reference>
          <reference field="13" count="1" selected="0">
            <x v="6"/>
          </reference>
          <reference field="17" count="1">
            <x v="4"/>
          </reference>
        </references>
      </pivotArea>
    </format>
    <format dxfId="163">
      <pivotArea dataOnly="0" labelOnly="1" outline="0" fieldPosition="0">
        <references count="4">
          <reference field="11" count="1" selected="0">
            <x v="2"/>
          </reference>
          <reference field="12" count="1" selected="0">
            <x v="10"/>
          </reference>
          <reference field="13" count="1" selected="0">
            <x v="6"/>
          </reference>
          <reference field="17" count="1">
            <x v="3"/>
          </reference>
        </references>
      </pivotArea>
    </format>
    <format dxfId="162">
      <pivotArea dataOnly="0" labelOnly="1" outline="0" fieldPosition="0">
        <references count="4">
          <reference field="11" count="1" selected="0">
            <x v="2"/>
          </reference>
          <reference field="12" count="1" selected="0">
            <x v="18"/>
          </reference>
          <reference field="13" count="1" selected="0">
            <x v="6"/>
          </reference>
          <reference field="17" count="1">
            <x v="4"/>
          </reference>
        </references>
      </pivotArea>
    </format>
    <format dxfId="161">
      <pivotArea dataOnly="0" labelOnly="1" outline="0" fieldPosition="0">
        <references count="4">
          <reference field="11" count="1" selected="0">
            <x v="2"/>
          </reference>
          <reference field="12" count="1" selected="0">
            <x v="20"/>
          </reference>
          <reference field="13" count="1" selected="0">
            <x v="6"/>
          </reference>
          <reference field="17" count="1">
            <x v="3"/>
          </reference>
        </references>
      </pivotArea>
    </format>
    <format dxfId="160">
      <pivotArea dataOnly="0" labelOnly="1" outline="0" fieldPosition="0">
        <references count="4">
          <reference field="11" count="1" selected="0">
            <x v="2"/>
          </reference>
          <reference field="12" count="1" selected="0">
            <x v="24"/>
          </reference>
          <reference field="13" count="1" selected="0">
            <x v="6"/>
          </reference>
          <reference field="17" count="1">
            <x v="2"/>
          </reference>
        </references>
      </pivotArea>
    </format>
    <format dxfId="159">
      <pivotArea dataOnly="0" labelOnly="1" outline="0" fieldPosition="0">
        <references count="4">
          <reference field="11" count="1" selected="0">
            <x v="2"/>
          </reference>
          <reference field="12" count="1" selected="0">
            <x v="26"/>
          </reference>
          <reference field="13" count="1" selected="0">
            <x v="6"/>
          </reference>
          <reference field="17" count="1">
            <x v="4"/>
          </reference>
        </references>
      </pivotArea>
    </format>
    <format dxfId="158">
      <pivotArea dataOnly="0" labelOnly="1" outline="0" fieldPosition="0">
        <references count="4">
          <reference field="11" count="1" selected="0">
            <x v="2"/>
          </reference>
          <reference field="12" count="1" selected="0">
            <x v="27"/>
          </reference>
          <reference field="13" count="1" selected="0">
            <x v="6"/>
          </reference>
          <reference field="17" count="1">
            <x v="1"/>
          </reference>
        </references>
      </pivotArea>
    </format>
    <format dxfId="157">
      <pivotArea dataOnly="0" labelOnly="1" outline="0" fieldPosition="0">
        <references count="4">
          <reference field="11" count="1" selected="0">
            <x v="2"/>
          </reference>
          <reference field="12" count="1" selected="0">
            <x v="29"/>
          </reference>
          <reference field="13" count="1" selected="0">
            <x v="6"/>
          </reference>
          <reference field="17" count="1">
            <x v="1"/>
          </reference>
        </references>
      </pivotArea>
    </format>
    <format dxfId="156">
      <pivotArea dataOnly="0" labelOnly="1" outline="0" fieldPosition="0">
        <references count="4">
          <reference field="11" count="1" selected="0">
            <x v="2"/>
          </reference>
          <reference field="12" count="1" selected="0">
            <x v="30"/>
          </reference>
          <reference field="13" count="1" selected="0">
            <x v="6"/>
          </reference>
          <reference field="17" count="1">
            <x v="0"/>
          </reference>
        </references>
      </pivotArea>
    </format>
    <format dxfId="155">
      <pivotArea dataOnly="0" labelOnly="1" outline="0" fieldPosition="0">
        <references count="4">
          <reference field="11" count="1" selected="0">
            <x v="2"/>
          </reference>
          <reference field="12" count="1" selected="0">
            <x v="35"/>
          </reference>
          <reference field="13" count="1" selected="0">
            <x v="6"/>
          </reference>
          <reference field="17" count="1">
            <x v="4"/>
          </reference>
        </references>
      </pivotArea>
    </format>
    <format dxfId="154">
      <pivotArea dataOnly="0" labelOnly="1" outline="0" fieldPosition="0">
        <references count="4">
          <reference field="11" count="1" selected="0">
            <x v="2"/>
          </reference>
          <reference field="12" count="1" selected="0">
            <x v="36"/>
          </reference>
          <reference field="13" count="1" selected="0">
            <x v="6"/>
          </reference>
          <reference field="17" count="1">
            <x v="4"/>
          </reference>
        </references>
      </pivotArea>
    </format>
    <format dxfId="153">
      <pivotArea dataOnly="0" labelOnly="1" outline="0" fieldPosition="0">
        <references count="4">
          <reference field="11" count="1" selected="0">
            <x v="2"/>
          </reference>
          <reference field="12" count="1" selected="0">
            <x v="45"/>
          </reference>
          <reference field="13" count="1" selected="0">
            <x v="6"/>
          </reference>
          <reference field="17" count="1">
            <x v="2"/>
          </reference>
        </references>
      </pivotArea>
    </format>
    <format dxfId="152">
      <pivotArea dataOnly="0" labelOnly="1" outline="0" fieldPosition="0">
        <references count="4">
          <reference field="11" count="1" selected="0">
            <x v="2"/>
          </reference>
          <reference field="12" count="1" selected="0">
            <x v="49"/>
          </reference>
          <reference field="13" count="1" selected="0">
            <x v="6"/>
          </reference>
          <reference field="17" count="1">
            <x v="2"/>
          </reference>
        </references>
      </pivotArea>
    </format>
    <format dxfId="151">
      <pivotArea dataOnly="0" labelOnly="1" outline="0" fieldPosition="0">
        <references count="4">
          <reference field="11" count="1" selected="0">
            <x v="2"/>
          </reference>
          <reference field="12" count="1" selected="0">
            <x v="68"/>
          </reference>
          <reference field="13" count="1" selected="0">
            <x v="6"/>
          </reference>
          <reference field="17" count="1">
            <x v="4"/>
          </reference>
        </references>
      </pivotArea>
    </format>
    <format dxfId="150">
      <pivotArea dataOnly="0" labelOnly="1" outline="0" fieldPosition="0">
        <references count="4">
          <reference field="11" count="1" selected="0">
            <x v="2"/>
          </reference>
          <reference field="12" count="1" selected="0">
            <x v="70"/>
          </reference>
          <reference field="13" count="1" selected="0">
            <x v="6"/>
          </reference>
          <reference field="17" count="1">
            <x v="2"/>
          </reference>
        </references>
      </pivotArea>
    </format>
    <format dxfId="149">
      <pivotArea dataOnly="0" labelOnly="1" outline="0" fieldPosition="0">
        <references count="4">
          <reference field="11" count="1" selected="0">
            <x v="2"/>
          </reference>
          <reference field="12" count="1" selected="0">
            <x v="73"/>
          </reference>
          <reference field="13" count="1" selected="0">
            <x v="6"/>
          </reference>
          <reference field="17" count="1">
            <x v="2"/>
          </reference>
        </references>
      </pivotArea>
    </format>
    <format dxfId="148">
      <pivotArea dataOnly="0" labelOnly="1" outline="0" fieldPosition="0">
        <references count="4">
          <reference field="11" count="1" selected="0">
            <x v="2"/>
          </reference>
          <reference field="12" count="1" selected="0">
            <x v="88"/>
          </reference>
          <reference field="13" count="1" selected="0">
            <x v="6"/>
          </reference>
          <reference field="17" count="1">
            <x v="4"/>
          </reference>
        </references>
      </pivotArea>
    </format>
    <format dxfId="147">
      <pivotArea dataOnly="0" labelOnly="1" outline="0" fieldPosition="0">
        <references count="4">
          <reference field="11" count="1" selected="0">
            <x v="2"/>
          </reference>
          <reference field="12" count="1" selected="0">
            <x v="101"/>
          </reference>
          <reference field="13" count="1" selected="0">
            <x v="6"/>
          </reference>
          <reference field="17" count="1">
            <x v="2"/>
          </reference>
        </references>
      </pivotArea>
    </format>
    <format dxfId="146">
      <pivotArea dataOnly="0" labelOnly="1" outline="0" fieldPosition="0">
        <references count="4">
          <reference field="11" count="1" selected="0">
            <x v="2"/>
          </reference>
          <reference field="12" count="1" selected="0">
            <x v="108"/>
          </reference>
          <reference field="13" count="1" selected="0">
            <x v="6"/>
          </reference>
          <reference field="17" count="1">
            <x v="2"/>
          </reference>
        </references>
      </pivotArea>
    </format>
    <format dxfId="145">
      <pivotArea dataOnly="0" labelOnly="1" outline="0" fieldPosition="0">
        <references count="4">
          <reference field="11" count="1" selected="0">
            <x v="2"/>
          </reference>
          <reference field="12" count="1" selected="0">
            <x v="109"/>
          </reference>
          <reference field="13" count="1" selected="0">
            <x v="6"/>
          </reference>
          <reference field="17" count="1">
            <x v="4"/>
          </reference>
        </references>
      </pivotArea>
    </format>
    <format dxfId="144">
      <pivotArea dataOnly="0" labelOnly="1" outline="0" fieldPosition="0">
        <references count="4">
          <reference field="11" count="1" selected="0">
            <x v="2"/>
          </reference>
          <reference field="12" count="1" selected="0">
            <x v="115"/>
          </reference>
          <reference field="13" count="1" selected="0">
            <x v="6"/>
          </reference>
          <reference field="17" count="1">
            <x v="4"/>
          </reference>
        </references>
      </pivotArea>
    </format>
    <format dxfId="143">
      <pivotArea dataOnly="0" labelOnly="1" outline="0" fieldPosition="0">
        <references count="4">
          <reference field="11" count="1" selected="0">
            <x v="2"/>
          </reference>
          <reference field="12" count="1" selected="0">
            <x v="120"/>
          </reference>
          <reference field="13" count="1" selected="0">
            <x v="6"/>
          </reference>
          <reference field="17" count="1">
            <x v="2"/>
          </reference>
        </references>
      </pivotArea>
    </format>
    <format dxfId="142">
      <pivotArea dataOnly="0" labelOnly="1" outline="0" fieldPosition="0">
        <references count="4">
          <reference field="11" count="1" selected="0">
            <x v="2"/>
          </reference>
          <reference field="12" count="1" selected="0">
            <x v="126"/>
          </reference>
          <reference field="13" count="1" selected="0">
            <x v="6"/>
          </reference>
          <reference field="17" count="1">
            <x v="4"/>
          </reference>
        </references>
      </pivotArea>
    </format>
    <format dxfId="141">
      <pivotArea dataOnly="0" labelOnly="1" outline="0" fieldPosition="0">
        <references count="4">
          <reference field="11" count="1" selected="0">
            <x v="2"/>
          </reference>
          <reference field="12" count="1" selected="0">
            <x v="127"/>
          </reference>
          <reference field="13" count="1" selected="0">
            <x v="6"/>
          </reference>
          <reference field="17" count="1">
            <x v="2"/>
          </reference>
        </references>
      </pivotArea>
    </format>
    <format dxfId="140">
      <pivotArea dataOnly="0" labelOnly="1" outline="0" fieldPosition="0">
        <references count="4">
          <reference field="11" count="1" selected="0">
            <x v="2"/>
          </reference>
          <reference field="12" count="1" selected="0">
            <x v="128"/>
          </reference>
          <reference field="13" count="1" selected="0">
            <x v="6"/>
          </reference>
          <reference field="17" count="1">
            <x v="1"/>
          </reference>
        </references>
      </pivotArea>
    </format>
    <format dxfId="139">
      <pivotArea dataOnly="0" labelOnly="1" outline="0" fieldPosition="0">
        <references count="4">
          <reference field="11" count="1" selected="0">
            <x v="2"/>
          </reference>
          <reference field="12" count="1" selected="0">
            <x v="133"/>
          </reference>
          <reference field="13" count="1" selected="0">
            <x v="6"/>
          </reference>
          <reference field="17" count="1">
            <x v="3"/>
          </reference>
        </references>
      </pivotArea>
    </format>
    <format dxfId="138">
      <pivotArea dataOnly="0" labelOnly="1" outline="0" fieldPosition="0">
        <references count="4">
          <reference field="11" count="1" selected="0">
            <x v="2"/>
          </reference>
          <reference field="12" count="1" selected="0">
            <x v="134"/>
          </reference>
          <reference field="13" count="1" selected="0">
            <x v="6"/>
          </reference>
          <reference field="17" count="1">
            <x v="3"/>
          </reference>
        </references>
      </pivotArea>
    </format>
    <format dxfId="137">
      <pivotArea dataOnly="0" labelOnly="1" outline="0" fieldPosition="0">
        <references count="4">
          <reference field="11" count="1" selected="0">
            <x v="2"/>
          </reference>
          <reference field="12" count="1" selected="0">
            <x v="147"/>
          </reference>
          <reference field="13" count="1" selected="0">
            <x v="6"/>
          </reference>
          <reference field="17" count="1">
            <x v="4"/>
          </reference>
        </references>
      </pivotArea>
    </format>
    <format dxfId="136">
      <pivotArea dataOnly="0" labelOnly="1" outline="0" fieldPosition="0">
        <references count="4">
          <reference field="11" count="1" selected="0">
            <x v="2"/>
          </reference>
          <reference field="12" count="1" selected="0">
            <x v="152"/>
          </reference>
          <reference field="13" count="1" selected="0">
            <x v="6"/>
          </reference>
          <reference field="17" count="1">
            <x v="1"/>
          </reference>
        </references>
      </pivotArea>
    </format>
    <format dxfId="135">
      <pivotArea dataOnly="0" labelOnly="1" outline="0" fieldPosition="0">
        <references count="4">
          <reference field="11" count="1" selected="0">
            <x v="2"/>
          </reference>
          <reference field="12" count="1" selected="0">
            <x v="154"/>
          </reference>
          <reference field="13" count="1" selected="0">
            <x v="6"/>
          </reference>
          <reference field="17" count="1">
            <x v="3"/>
          </reference>
        </references>
      </pivotArea>
    </format>
    <format dxfId="134">
      <pivotArea dataOnly="0" labelOnly="1" outline="0" fieldPosition="0">
        <references count="4">
          <reference field="11" count="1" selected="0">
            <x v="2"/>
          </reference>
          <reference field="12" count="1" selected="0">
            <x v="156"/>
          </reference>
          <reference field="13" count="1" selected="0">
            <x v="6"/>
          </reference>
          <reference field="17" count="1">
            <x v="3"/>
          </reference>
        </references>
      </pivotArea>
    </format>
    <format dxfId="133">
      <pivotArea dataOnly="0" labelOnly="1" outline="0" fieldPosition="0">
        <references count="4">
          <reference field="11" count="1" selected="0">
            <x v="2"/>
          </reference>
          <reference field="12" count="1" selected="0">
            <x v="157"/>
          </reference>
          <reference field="13" count="1" selected="0">
            <x v="6"/>
          </reference>
          <reference field="17" count="1">
            <x v="2"/>
          </reference>
        </references>
      </pivotArea>
    </format>
    <format dxfId="132">
      <pivotArea dataOnly="0" labelOnly="1" outline="0" fieldPosition="0">
        <references count="4">
          <reference field="11" count="1" selected="0">
            <x v="2"/>
          </reference>
          <reference field="12" count="1" selected="0">
            <x v="162"/>
          </reference>
          <reference field="13" count="1" selected="0">
            <x v="6"/>
          </reference>
          <reference field="17" count="1">
            <x v="3"/>
          </reference>
        </references>
      </pivotArea>
    </format>
    <format dxfId="131">
      <pivotArea dataOnly="0" labelOnly="1" outline="0" fieldPosition="0">
        <references count="4">
          <reference field="11" count="1" selected="0">
            <x v="2"/>
          </reference>
          <reference field="12" count="1" selected="0">
            <x v="163"/>
          </reference>
          <reference field="13" count="1" selected="0">
            <x v="6"/>
          </reference>
          <reference field="17" count="1">
            <x v="3"/>
          </reference>
        </references>
      </pivotArea>
    </format>
    <format dxfId="130">
      <pivotArea dataOnly="0" labelOnly="1" outline="0" fieldPosition="0">
        <references count="4">
          <reference field="11" count="1" selected="0">
            <x v="2"/>
          </reference>
          <reference field="12" count="1" selected="0">
            <x v="95"/>
          </reference>
          <reference field="13" count="1" selected="0">
            <x v="11"/>
          </reference>
          <reference field="17" count="1">
            <x v="4"/>
          </reference>
        </references>
      </pivotArea>
    </format>
    <format dxfId="129">
      <pivotArea dataOnly="0" labelOnly="1" outline="0" fieldPosition="0">
        <references count="4">
          <reference field="11" count="1" selected="0">
            <x v="3"/>
          </reference>
          <reference field="12" count="1" selected="0">
            <x v="1"/>
          </reference>
          <reference field="13" count="1" selected="0">
            <x v="2"/>
          </reference>
          <reference field="17" count="1">
            <x v="1"/>
          </reference>
        </references>
      </pivotArea>
    </format>
    <format dxfId="128">
      <pivotArea dataOnly="0" labelOnly="1" outline="0" fieldPosition="0">
        <references count="4">
          <reference field="11" count="1" selected="0">
            <x v="3"/>
          </reference>
          <reference field="12" count="1" selected="0">
            <x v="2"/>
          </reference>
          <reference field="13" count="1" selected="0">
            <x v="2"/>
          </reference>
          <reference field="17" count="1">
            <x v="3"/>
          </reference>
        </references>
      </pivotArea>
    </format>
    <format dxfId="127">
      <pivotArea dataOnly="0" labelOnly="1" outline="0" fieldPosition="0">
        <references count="4">
          <reference field="11" count="1" selected="0">
            <x v="3"/>
          </reference>
          <reference field="12" count="1" selected="0">
            <x v="6"/>
          </reference>
          <reference field="13" count="1" selected="0">
            <x v="2"/>
          </reference>
          <reference field="17" count="1">
            <x v="3"/>
          </reference>
        </references>
      </pivotArea>
    </format>
    <format dxfId="126">
      <pivotArea dataOnly="0" labelOnly="1" outline="0" fieldPosition="0">
        <references count="4">
          <reference field="11" count="1" selected="0">
            <x v="3"/>
          </reference>
          <reference field="12" count="1" selected="0">
            <x v="21"/>
          </reference>
          <reference field="13" count="1" selected="0">
            <x v="2"/>
          </reference>
          <reference field="17" count="1">
            <x v="1"/>
          </reference>
        </references>
      </pivotArea>
    </format>
    <format dxfId="125">
      <pivotArea dataOnly="0" labelOnly="1" outline="0" fieldPosition="0">
        <references count="4">
          <reference field="11" count="1" selected="0">
            <x v="3"/>
          </reference>
          <reference field="12" count="1" selected="0">
            <x v="22"/>
          </reference>
          <reference field="13" count="1" selected="0">
            <x v="2"/>
          </reference>
          <reference field="17" count="1">
            <x v="4"/>
          </reference>
        </references>
      </pivotArea>
    </format>
    <format dxfId="124">
      <pivotArea dataOnly="0" labelOnly="1" outline="0" fieldPosition="0">
        <references count="4">
          <reference field="11" count="1" selected="0">
            <x v="3"/>
          </reference>
          <reference field="12" count="1" selected="0">
            <x v="25"/>
          </reference>
          <reference field="13" count="1" selected="0">
            <x v="2"/>
          </reference>
          <reference field="17" count="1">
            <x v="1"/>
          </reference>
        </references>
      </pivotArea>
    </format>
    <format dxfId="123">
      <pivotArea dataOnly="0" labelOnly="1" outline="0" fieldPosition="0">
        <references count="4">
          <reference field="11" count="1" selected="0">
            <x v="3"/>
          </reference>
          <reference field="12" count="1" selected="0">
            <x v="28"/>
          </reference>
          <reference field="13" count="1" selected="0">
            <x v="2"/>
          </reference>
          <reference field="17" count="1">
            <x v="3"/>
          </reference>
        </references>
      </pivotArea>
    </format>
    <format dxfId="122">
      <pivotArea dataOnly="0" labelOnly="1" outline="0" fieldPosition="0">
        <references count="4">
          <reference field="11" count="1" selected="0">
            <x v="3"/>
          </reference>
          <reference field="12" count="1" selected="0">
            <x v="33"/>
          </reference>
          <reference field="13" count="1" selected="0">
            <x v="2"/>
          </reference>
          <reference field="17" count="1">
            <x v="1"/>
          </reference>
        </references>
      </pivotArea>
    </format>
    <format dxfId="121">
      <pivotArea dataOnly="0" labelOnly="1" outline="0" fieldPosition="0">
        <references count="4">
          <reference field="11" count="1" selected="0">
            <x v="3"/>
          </reference>
          <reference field="12" count="1" selected="0">
            <x v="37"/>
          </reference>
          <reference field="13" count="1" selected="0">
            <x v="2"/>
          </reference>
          <reference field="17" count="1">
            <x v="2"/>
          </reference>
        </references>
      </pivotArea>
    </format>
    <format dxfId="120">
      <pivotArea dataOnly="0" labelOnly="1" outline="0" fieldPosition="0">
        <references count="4">
          <reference field="11" count="1" selected="0">
            <x v="3"/>
          </reference>
          <reference field="12" count="1" selected="0">
            <x v="38"/>
          </reference>
          <reference field="13" count="1" selected="0">
            <x v="2"/>
          </reference>
          <reference field="17" count="1">
            <x v="1"/>
          </reference>
        </references>
      </pivotArea>
    </format>
    <format dxfId="119">
      <pivotArea dataOnly="0" labelOnly="1" outline="0" fieldPosition="0">
        <references count="4">
          <reference field="11" count="1" selected="0">
            <x v="3"/>
          </reference>
          <reference field="12" count="1" selected="0">
            <x v="42"/>
          </reference>
          <reference field="13" count="1" selected="0">
            <x v="2"/>
          </reference>
          <reference field="17" count="1">
            <x v="4"/>
          </reference>
        </references>
      </pivotArea>
    </format>
    <format dxfId="118">
      <pivotArea dataOnly="0" labelOnly="1" outline="0" fieldPosition="0">
        <references count="4">
          <reference field="11" count="1" selected="0">
            <x v="3"/>
          </reference>
          <reference field="12" count="1" selected="0">
            <x v="44"/>
          </reference>
          <reference field="13" count="1" selected="0">
            <x v="2"/>
          </reference>
          <reference field="17" count="1">
            <x v="4"/>
          </reference>
        </references>
      </pivotArea>
    </format>
    <format dxfId="117">
      <pivotArea dataOnly="0" labelOnly="1" outline="0" fieldPosition="0">
        <references count="4">
          <reference field="11" count="1" selected="0">
            <x v="3"/>
          </reference>
          <reference field="12" count="1" selected="0">
            <x v="52"/>
          </reference>
          <reference field="13" count="1" selected="0">
            <x v="2"/>
          </reference>
          <reference field="17" count="1">
            <x v="2"/>
          </reference>
        </references>
      </pivotArea>
    </format>
    <format dxfId="116">
      <pivotArea dataOnly="0" labelOnly="1" outline="0" fieldPosition="0">
        <references count="4">
          <reference field="11" count="1" selected="0">
            <x v="3"/>
          </reference>
          <reference field="12" count="1" selected="0">
            <x v="53"/>
          </reference>
          <reference field="13" count="1" selected="0">
            <x v="2"/>
          </reference>
          <reference field="17" count="1">
            <x v="1"/>
          </reference>
        </references>
      </pivotArea>
    </format>
    <format dxfId="115">
      <pivotArea dataOnly="0" labelOnly="1" outline="0" fieldPosition="0">
        <references count="4">
          <reference field="11" count="1" selected="0">
            <x v="3"/>
          </reference>
          <reference field="12" count="1" selected="0">
            <x v="55"/>
          </reference>
          <reference field="13" count="1" selected="0">
            <x v="2"/>
          </reference>
          <reference field="17" count="1">
            <x v="2"/>
          </reference>
        </references>
      </pivotArea>
    </format>
    <format dxfId="114">
      <pivotArea dataOnly="0" labelOnly="1" outline="0" fieldPosition="0">
        <references count="4">
          <reference field="11" count="1" selected="0">
            <x v="3"/>
          </reference>
          <reference field="12" count="1" selected="0">
            <x v="58"/>
          </reference>
          <reference field="13" count="1" selected="0">
            <x v="2"/>
          </reference>
          <reference field="17" count="1">
            <x v="1"/>
          </reference>
        </references>
      </pivotArea>
    </format>
    <format dxfId="113">
      <pivotArea dataOnly="0" labelOnly="1" outline="0" fieldPosition="0">
        <references count="4">
          <reference field="11" count="1" selected="0">
            <x v="3"/>
          </reference>
          <reference field="12" count="1" selected="0">
            <x v="61"/>
          </reference>
          <reference field="13" count="1" selected="0">
            <x v="2"/>
          </reference>
          <reference field="17" count="1">
            <x v="1"/>
          </reference>
        </references>
      </pivotArea>
    </format>
    <format dxfId="112">
      <pivotArea dataOnly="0" labelOnly="1" outline="0" fieldPosition="0">
        <references count="4">
          <reference field="11" count="1" selected="0">
            <x v="3"/>
          </reference>
          <reference field="12" count="1" selected="0">
            <x v="64"/>
          </reference>
          <reference field="13" count="1" selected="0">
            <x v="2"/>
          </reference>
          <reference field="17" count="1">
            <x v="1"/>
          </reference>
        </references>
      </pivotArea>
    </format>
    <format dxfId="111">
      <pivotArea dataOnly="0" labelOnly="1" outline="0" fieldPosition="0">
        <references count="4">
          <reference field="11" count="1" selected="0">
            <x v="3"/>
          </reference>
          <reference field="12" count="1" selected="0">
            <x v="67"/>
          </reference>
          <reference field="13" count="1" selected="0">
            <x v="2"/>
          </reference>
          <reference field="17" count="1">
            <x v="1"/>
          </reference>
        </references>
      </pivotArea>
    </format>
    <format dxfId="110">
      <pivotArea dataOnly="0" labelOnly="1" outline="0" fieldPosition="0">
        <references count="4">
          <reference field="11" count="1" selected="0">
            <x v="3"/>
          </reference>
          <reference field="12" count="1" selected="0">
            <x v="71"/>
          </reference>
          <reference field="13" count="1" selected="0">
            <x v="2"/>
          </reference>
          <reference field="17" count="1">
            <x v="1"/>
          </reference>
        </references>
      </pivotArea>
    </format>
    <format dxfId="109">
      <pivotArea dataOnly="0" labelOnly="1" outline="0" fieldPosition="0">
        <references count="4">
          <reference field="11" count="1" selected="0">
            <x v="3"/>
          </reference>
          <reference field="12" count="1" selected="0">
            <x v="72"/>
          </reference>
          <reference field="13" count="1" selected="0">
            <x v="2"/>
          </reference>
          <reference field="17" count="1">
            <x v="1"/>
          </reference>
        </references>
      </pivotArea>
    </format>
    <format dxfId="108">
      <pivotArea dataOnly="0" labelOnly="1" outline="0" fieldPosition="0">
        <references count="4">
          <reference field="11" count="1" selected="0">
            <x v="3"/>
          </reference>
          <reference field="12" count="1" selected="0">
            <x v="77"/>
          </reference>
          <reference field="13" count="1" selected="0">
            <x v="2"/>
          </reference>
          <reference field="17" count="1">
            <x v="1"/>
          </reference>
        </references>
      </pivotArea>
    </format>
    <format dxfId="107">
      <pivotArea dataOnly="0" labelOnly="1" outline="0" fieldPosition="0">
        <references count="4">
          <reference field="11" count="1" selected="0">
            <x v="3"/>
          </reference>
          <reference field="12" count="1" selected="0">
            <x v="80"/>
          </reference>
          <reference field="13" count="1" selected="0">
            <x v="2"/>
          </reference>
          <reference field="17" count="1">
            <x v="2"/>
          </reference>
        </references>
      </pivotArea>
    </format>
    <format dxfId="106">
      <pivotArea dataOnly="0" labelOnly="1" outline="0" fieldPosition="0">
        <references count="4">
          <reference field="11" count="1" selected="0">
            <x v="3"/>
          </reference>
          <reference field="12" count="1" selected="0">
            <x v="90"/>
          </reference>
          <reference field="13" count="1" selected="0">
            <x v="2"/>
          </reference>
          <reference field="17" count="1">
            <x v="1"/>
          </reference>
        </references>
      </pivotArea>
    </format>
    <format dxfId="105">
      <pivotArea dataOnly="0" labelOnly="1" outline="0" fieldPosition="0">
        <references count="4">
          <reference field="11" count="1" selected="0">
            <x v="3"/>
          </reference>
          <reference field="12" count="1" selected="0">
            <x v="93"/>
          </reference>
          <reference field="13" count="1" selected="0">
            <x v="2"/>
          </reference>
          <reference field="17" count="1">
            <x v="1"/>
          </reference>
        </references>
      </pivotArea>
    </format>
    <format dxfId="104">
      <pivotArea dataOnly="0" labelOnly="1" outline="0" fieldPosition="0">
        <references count="4">
          <reference field="11" count="1" selected="0">
            <x v="3"/>
          </reference>
          <reference field="12" count="1" selected="0">
            <x v="94"/>
          </reference>
          <reference field="13" count="1" selected="0">
            <x v="2"/>
          </reference>
          <reference field="17" count="1">
            <x v="1"/>
          </reference>
        </references>
      </pivotArea>
    </format>
    <format dxfId="103">
      <pivotArea dataOnly="0" labelOnly="1" outline="0" fieldPosition="0">
        <references count="4">
          <reference field="11" count="1" selected="0">
            <x v="3"/>
          </reference>
          <reference field="12" count="1" selected="0">
            <x v="99"/>
          </reference>
          <reference field="13" count="1" selected="0">
            <x v="2"/>
          </reference>
          <reference field="17" count="1">
            <x v="1"/>
          </reference>
        </references>
      </pivotArea>
    </format>
    <format dxfId="102">
      <pivotArea dataOnly="0" labelOnly="1" outline="0" fieldPosition="0">
        <references count="4">
          <reference field="11" count="1" selected="0">
            <x v="3"/>
          </reference>
          <reference field="12" count="1" selected="0">
            <x v="102"/>
          </reference>
          <reference field="13" count="1" selected="0">
            <x v="2"/>
          </reference>
          <reference field="17" count="1">
            <x v="1"/>
          </reference>
        </references>
      </pivotArea>
    </format>
    <format dxfId="101">
      <pivotArea dataOnly="0" labelOnly="1" outline="0" fieldPosition="0">
        <references count="4">
          <reference field="11" count="1" selected="0">
            <x v="3"/>
          </reference>
          <reference field="12" count="1" selected="0">
            <x v="110"/>
          </reference>
          <reference field="13" count="1" selected="0">
            <x v="2"/>
          </reference>
          <reference field="17" count="1">
            <x v="1"/>
          </reference>
        </references>
      </pivotArea>
    </format>
    <format dxfId="100">
      <pivotArea dataOnly="0" labelOnly="1" outline="0" fieldPosition="0">
        <references count="4">
          <reference field="11" count="1" selected="0">
            <x v="3"/>
          </reference>
          <reference field="12" count="1" selected="0">
            <x v="111"/>
          </reference>
          <reference field="13" count="1" selected="0">
            <x v="2"/>
          </reference>
          <reference field="17" count="1">
            <x v="4"/>
          </reference>
        </references>
      </pivotArea>
    </format>
    <format dxfId="99">
      <pivotArea dataOnly="0" labelOnly="1" outline="0" fieldPosition="0">
        <references count="4">
          <reference field="11" count="1" selected="0">
            <x v="3"/>
          </reference>
          <reference field="12" count="1" selected="0">
            <x v="112"/>
          </reference>
          <reference field="13" count="1" selected="0">
            <x v="2"/>
          </reference>
          <reference field="17" count="1">
            <x v="1"/>
          </reference>
        </references>
      </pivotArea>
    </format>
    <format dxfId="98">
      <pivotArea dataOnly="0" labelOnly="1" outline="0" fieldPosition="0">
        <references count="4">
          <reference field="11" count="1" selected="0">
            <x v="3"/>
          </reference>
          <reference field="12" count="1" selected="0">
            <x v="114"/>
          </reference>
          <reference field="13" count="1" selected="0">
            <x v="2"/>
          </reference>
          <reference field="17" count="1">
            <x v="4"/>
          </reference>
        </references>
      </pivotArea>
    </format>
    <format dxfId="97">
      <pivotArea dataOnly="0" labelOnly="1" outline="0" fieldPosition="0">
        <references count="4">
          <reference field="11" count="1" selected="0">
            <x v="3"/>
          </reference>
          <reference field="12" count="1" selected="0">
            <x v="119"/>
          </reference>
          <reference field="13" count="1" selected="0">
            <x v="2"/>
          </reference>
          <reference field="17" count="1">
            <x v="4"/>
          </reference>
        </references>
      </pivotArea>
    </format>
    <format dxfId="96">
      <pivotArea dataOnly="0" labelOnly="1" outline="0" fieldPosition="0">
        <references count="4">
          <reference field="11" count="1" selected="0">
            <x v="3"/>
          </reference>
          <reference field="12" count="1" selected="0">
            <x v="125"/>
          </reference>
          <reference field="13" count="1" selected="0">
            <x v="2"/>
          </reference>
          <reference field="17" count="1">
            <x v="3"/>
          </reference>
        </references>
      </pivotArea>
    </format>
    <format dxfId="95">
      <pivotArea dataOnly="0" labelOnly="1" outline="0" fieldPosition="0">
        <references count="4">
          <reference field="11" count="1" selected="0">
            <x v="3"/>
          </reference>
          <reference field="12" count="1" selected="0">
            <x v="132"/>
          </reference>
          <reference field="13" count="1" selected="0">
            <x v="2"/>
          </reference>
          <reference field="17" count="1">
            <x v="3"/>
          </reference>
        </references>
      </pivotArea>
    </format>
    <format dxfId="94">
      <pivotArea dataOnly="0" labelOnly="1" outline="0" fieldPosition="0">
        <references count="4">
          <reference field="11" count="1" selected="0">
            <x v="3"/>
          </reference>
          <reference field="12" count="1" selected="0">
            <x v="137"/>
          </reference>
          <reference field="13" count="1" selected="0">
            <x v="2"/>
          </reference>
          <reference field="17" count="1">
            <x v="2"/>
          </reference>
        </references>
      </pivotArea>
    </format>
    <format dxfId="93">
      <pivotArea dataOnly="0" labelOnly="1" outline="0" fieldPosition="0">
        <references count="4">
          <reference field="11" count="1" selected="0">
            <x v="3"/>
          </reference>
          <reference field="12" count="1" selected="0">
            <x v="142"/>
          </reference>
          <reference field="13" count="1" selected="0">
            <x v="2"/>
          </reference>
          <reference field="17" count="1">
            <x v="2"/>
          </reference>
        </references>
      </pivotArea>
    </format>
    <format dxfId="92">
      <pivotArea dataOnly="0" labelOnly="1" outline="0" fieldPosition="0">
        <references count="4">
          <reference field="11" count="1" selected="0">
            <x v="3"/>
          </reference>
          <reference field="12" count="1" selected="0">
            <x v="144"/>
          </reference>
          <reference field="13" count="1" selected="0">
            <x v="2"/>
          </reference>
          <reference field="17" count="1">
            <x v="1"/>
          </reference>
        </references>
      </pivotArea>
    </format>
    <format dxfId="91">
      <pivotArea dataOnly="0" labelOnly="1" outline="0" fieldPosition="0">
        <references count="4">
          <reference field="11" count="1" selected="0">
            <x v="3"/>
          </reference>
          <reference field="12" count="1" selected="0">
            <x v="146"/>
          </reference>
          <reference field="13" count="1" selected="0">
            <x v="2"/>
          </reference>
          <reference field="17" count="1">
            <x v="3"/>
          </reference>
        </references>
      </pivotArea>
    </format>
    <format dxfId="90">
      <pivotArea dataOnly="0" labelOnly="1" outline="0" fieldPosition="0">
        <references count="4">
          <reference field="11" count="1" selected="0">
            <x v="3"/>
          </reference>
          <reference field="12" count="1" selected="0">
            <x v="160"/>
          </reference>
          <reference field="13" count="1" selected="0">
            <x v="2"/>
          </reference>
          <reference field="17" count="1">
            <x v="1"/>
          </reference>
        </references>
      </pivotArea>
    </format>
    <format dxfId="89">
      <pivotArea dataOnly="0" labelOnly="1" outline="0" fieldPosition="0">
        <references count="4">
          <reference field="11" count="1" selected="0">
            <x v="3"/>
          </reference>
          <reference field="12" count="1" selected="0">
            <x v="16"/>
          </reference>
          <reference field="13" count="1" selected="0">
            <x v="6"/>
          </reference>
          <reference field="17" count="1">
            <x v="3"/>
          </reference>
        </references>
      </pivotArea>
    </format>
    <format dxfId="88">
      <pivotArea dataOnly="0" labelOnly="1" outline="0" fieldPosition="0">
        <references count="4">
          <reference field="11" count="1" selected="0">
            <x v="3"/>
          </reference>
          <reference field="12" count="1" selected="0">
            <x v="34"/>
          </reference>
          <reference field="13" count="1" selected="0">
            <x v="6"/>
          </reference>
          <reference field="17" count="1">
            <x v="4"/>
          </reference>
        </references>
      </pivotArea>
    </format>
    <format dxfId="87">
      <pivotArea dataOnly="0" labelOnly="1" outline="0" fieldPosition="0">
        <references count="4">
          <reference field="11" count="1" selected="0">
            <x v="3"/>
          </reference>
          <reference field="12" count="1" selected="0">
            <x v="104"/>
          </reference>
          <reference field="13" count="1" selected="0">
            <x v="6"/>
          </reference>
          <reference field="17" count="1">
            <x v="4"/>
          </reference>
        </references>
      </pivotArea>
    </format>
    <format dxfId="86">
      <pivotArea dataOnly="0" labelOnly="1" outline="0" fieldPosition="0">
        <references count="4">
          <reference field="11" count="1" selected="0">
            <x v="3"/>
          </reference>
          <reference field="12" count="1" selected="0">
            <x v="140"/>
          </reference>
          <reference field="13" count="1" selected="0">
            <x v="6"/>
          </reference>
          <reference field="17" count="1">
            <x v="2"/>
          </reference>
        </references>
      </pivotArea>
    </format>
    <format dxfId="85">
      <pivotArea dataOnly="0" labelOnly="1" outline="0" fieldPosition="0">
        <references count="4">
          <reference field="11" count="1" selected="0">
            <x v="3"/>
          </reference>
          <reference field="12" count="1" selected="0">
            <x v="150"/>
          </reference>
          <reference field="13" count="1" selected="0">
            <x v="6"/>
          </reference>
          <reference field="17" count="1">
            <x v="3"/>
          </reference>
        </references>
      </pivotArea>
    </format>
    <format dxfId="84">
      <pivotArea dataOnly="0" labelOnly="1" outline="0" fieldPosition="0">
        <references count="4">
          <reference field="11" count="1" selected="0">
            <x v="4"/>
          </reference>
          <reference field="12" count="1" selected="0">
            <x v="164"/>
          </reference>
          <reference field="13" count="1" selected="0">
            <x v="1"/>
          </reference>
          <reference field="17" count="1">
            <x v="1"/>
          </reference>
        </references>
      </pivotArea>
    </format>
    <format dxfId="83">
      <pivotArea dataOnly="0" labelOnly="1" outline="0" fieldPosition="0">
        <references count="4">
          <reference field="11" count="1" selected="0">
            <x v="4"/>
          </reference>
          <reference field="12" count="1" selected="0">
            <x v="59"/>
          </reference>
          <reference field="13" count="1" selected="0">
            <x v="2"/>
          </reference>
          <reference field="17" count="1">
            <x v="0"/>
          </reference>
        </references>
      </pivotArea>
    </format>
    <format dxfId="82">
      <pivotArea dataOnly="0" labelOnly="1" outline="0" fieldPosition="0">
        <references count="4">
          <reference field="11" count="1" selected="0">
            <x v="4"/>
          </reference>
          <reference field="12" count="1" selected="0">
            <x v="78"/>
          </reference>
          <reference field="13" count="1" selected="0">
            <x v="2"/>
          </reference>
          <reference field="17" count="1">
            <x v="0"/>
          </reference>
        </references>
      </pivotArea>
    </format>
    <format dxfId="81">
      <pivotArea dataOnly="0" labelOnly="1" outline="0" fieldPosition="0">
        <references count="4">
          <reference field="11" count="1" selected="0">
            <x v="4"/>
          </reference>
          <reference field="12" count="1" selected="0">
            <x v="139"/>
          </reference>
          <reference field="13" count="1" selected="0">
            <x v="2"/>
          </reference>
          <reference field="17" count="1">
            <x v="0"/>
          </reference>
        </references>
      </pivotArea>
    </format>
    <format dxfId="80">
      <pivotArea dataOnly="0" labelOnly="1" outline="0" fieldPosition="0">
        <references count="4">
          <reference field="11" count="1" selected="0">
            <x v="4"/>
          </reference>
          <reference field="12" count="1" selected="0">
            <x v="158"/>
          </reference>
          <reference field="13" count="1" selected="0">
            <x v="2"/>
          </reference>
          <reference field="17" count="1">
            <x v="0"/>
          </reference>
        </references>
      </pivotArea>
    </format>
    <format dxfId="79">
      <pivotArea dataOnly="0" labelOnly="1" outline="0" fieldPosition="0">
        <references count="4">
          <reference field="11" count="1" selected="0">
            <x v="4"/>
          </reference>
          <reference field="12" count="1" selected="0">
            <x v="31"/>
          </reference>
          <reference field="13" count="1" selected="0">
            <x v="3"/>
          </reference>
          <reference field="17" count="1">
            <x v="2"/>
          </reference>
        </references>
      </pivotArea>
    </format>
    <format dxfId="78">
      <pivotArea dataOnly="0" labelOnly="1" outline="0" fieldPosition="0">
        <references count="4">
          <reference field="11" count="1" selected="0">
            <x v="4"/>
          </reference>
          <reference field="12" count="1" selected="0">
            <x v="43"/>
          </reference>
          <reference field="13" count="1" selected="0">
            <x v="3"/>
          </reference>
          <reference field="17" count="1">
            <x v="4"/>
          </reference>
        </references>
      </pivotArea>
    </format>
    <format dxfId="77">
      <pivotArea dataOnly="0" labelOnly="1" outline="0" fieldPosition="0">
        <references count="4">
          <reference field="11" count="1" selected="0">
            <x v="4"/>
          </reference>
          <reference field="12" count="1" selected="0">
            <x v="54"/>
          </reference>
          <reference field="13" count="1" selected="0">
            <x v="3"/>
          </reference>
          <reference field="17" count="1">
            <x v="1"/>
          </reference>
        </references>
      </pivotArea>
    </format>
    <format dxfId="76">
      <pivotArea dataOnly="0" labelOnly="1" outline="0" fieldPosition="0">
        <references count="4">
          <reference field="11" count="1" selected="0">
            <x v="4"/>
          </reference>
          <reference field="12" count="1" selected="0">
            <x v="62"/>
          </reference>
          <reference field="13" count="1" selected="0">
            <x v="3"/>
          </reference>
          <reference field="17" count="1">
            <x v="2"/>
          </reference>
        </references>
      </pivotArea>
    </format>
    <format dxfId="75">
      <pivotArea dataOnly="0" labelOnly="1" outline="0" fieldPosition="0">
        <references count="4">
          <reference field="11" count="1" selected="0">
            <x v="4"/>
          </reference>
          <reference field="12" count="1" selected="0">
            <x v="83"/>
          </reference>
          <reference field="13" count="1" selected="0">
            <x v="3"/>
          </reference>
          <reference field="17" count="1">
            <x v="3"/>
          </reference>
        </references>
      </pivotArea>
    </format>
    <format dxfId="74">
      <pivotArea dataOnly="0" labelOnly="1" outline="0" fieldPosition="0">
        <references count="4">
          <reference field="11" count="1" selected="0">
            <x v="4"/>
          </reference>
          <reference field="12" count="1" selected="0">
            <x v="86"/>
          </reference>
          <reference field="13" count="1" selected="0">
            <x v="3"/>
          </reference>
          <reference field="17" count="1">
            <x v="1"/>
          </reference>
        </references>
      </pivotArea>
    </format>
    <format dxfId="73">
      <pivotArea dataOnly="0" labelOnly="1" outline="0" fieldPosition="0">
        <references count="4">
          <reference field="11" count="1" selected="0">
            <x v="4"/>
          </reference>
          <reference field="12" count="1" selected="0">
            <x v="12"/>
          </reference>
          <reference field="13" count="1" selected="0">
            <x v="5"/>
          </reference>
          <reference field="17" count="1">
            <x v="2"/>
          </reference>
        </references>
      </pivotArea>
    </format>
    <format dxfId="72">
      <pivotArea dataOnly="0" labelOnly="1" outline="0" fieldPosition="0">
        <references count="4">
          <reference field="11" count="1" selected="0">
            <x v="4"/>
          </reference>
          <reference field="12" count="1" selected="0">
            <x v="32"/>
          </reference>
          <reference field="13" count="1" selected="0">
            <x v="5"/>
          </reference>
          <reference field="17" count="1">
            <x v="3"/>
          </reference>
        </references>
      </pivotArea>
    </format>
    <format dxfId="71">
      <pivotArea dataOnly="0" labelOnly="1" outline="0" fieldPosition="0">
        <references count="4">
          <reference field="11" count="1" selected="0">
            <x v="4"/>
          </reference>
          <reference field="12" count="1" selected="0">
            <x v="39"/>
          </reference>
          <reference field="13" count="1" selected="0">
            <x v="5"/>
          </reference>
          <reference field="17" count="1">
            <x v="1"/>
          </reference>
        </references>
      </pivotArea>
    </format>
    <format dxfId="70">
      <pivotArea dataOnly="0" labelOnly="1" outline="0" fieldPosition="0">
        <references count="4">
          <reference field="11" count="1" selected="0">
            <x v="4"/>
          </reference>
          <reference field="12" count="1" selected="0">
            <x v="40"/>
          </reference>
          <reference field="13" count="1" selected="0">
            <x v="5"/>
          </reference>
          <reference field="17" count="1">
            <x v="2"/>
          </reference>
        </references>
      </pivotArea>
    </format>
    <format dxfId="69">
      <pivotArea dataOnly="0" labelOnly="1" outline="0" fieldPosition="0">
        <references count="4">
          <reference field="11" count="1" selected="0">
            <x v="4"/>
          </reference>
          <reference field="12" count="1" selected="0">
            <x v="47"/>
          </reference>
          <reference field="13" count="1" selected="0">
            <x v="5"/>
          </reference>
          <reference field="17" count="1">
            <x v="2"/>
          </reference>
        </references>
      </pivotArea>
    </format>
    <format dxfId="68">
      <pivotArea dataOnly="0" labelOnly="1" outline="0" fieldPosition="0">
        <references count="4">
          <reference field="11" count="1" selected="0">
            <x v="4"/>
          </reference>
          <reference field="12" count="1" selected="0">
            <x v="84"/>
          </reference>
          <reference field="13" count="1" selected="0">
            <x v="5"/>
          </reference>
          <reference field="17" count="1">
            <x v="1"/>
          </reference>
        </references>
      </pivotArea>
    </format>
    <format dxfId="67">
      <pivotArea dataOnly="0" labelOnly="1" outline="0" fieldPosition="0">
        <references count="4">
          <reference field="11" count="1" selected="0">
            <x v="4"/>
          </reference>
          <reference field="12" count="1" selected="0">
            <x v="130"/>
          </reference>
          <reference field="13" count="1" selected="0">
            <x v="5"/>
          </reference>
          <reference field="17" count="1">
            <x v="1"/>
          </reference>
        </references>
      </pivotArea>
    </format>
    <format dxfId="66">
      <pivotArea dataOnly="0" labelOnly="1" outline="0" fieldPosition="0">
        <references count="4">
          <reference field="11" count="1" selected="0">
            <x v="4"/>
          </reference>
          <reference field="12" count="1" selected="0">
            <x v="138"/>
          </reference>
          <reference field="13" count="1" selected="0">
            <x v="5"/>
          </reference>
          <reference field="17" count="1">
            <x v="1"/>
          </reference>
        </references>
      </pivotArea>
    </format>
    <format dxfId="65">
      <pivotArea dataOnly="0" labelOnly="1" outline="0" fieldPosition="0">
        <references count="4">
          <reference field="11" count="1" selected="0">
            <x v="4"/>
          </reference>
          <reference field="12" count="1" selected="0">
            <x v="161"/>
          </reference>
          <reference field="13" count="1" selected="0">
            <x v="5"/>
          </reference>
          <reference field="17" count="1">
            <x v="3"/>
          </reference>
        </references>
      </pivotArea>
    </format>
    <format dxfId="64">
      <pivotArea dataOnly="0" labelOnly="1" outline="0" fieldPosition="0">
        <references count="4">
          <reference field="11" count="1" selected="0">
            <x v="4"/>
          </reference>
          <reference field="12" count="1" selected="0">
            <x v="87"/>
          </reference>
          <reference field="13" count="1" selected="0">
            <x v="7"/>
          </reference>
          <reference field="17" count="1">
            <x v="1"/>
          </reference>
        </references>
      </pivotArea>
    </format>
    <format dxfId="63">
      <pivotArea dataOnly="0" labelOnly="1" outline="0" fieldPosition="0">
        <references count="4">
          <reference field="11" count="1" selected="0">
            <x v="4"/>
          </reference>
          <reference field="12" count="1" selected="0">
            <x v="92"/>
          </reference>
          <reference field="13" count="1" selected="0">
            <x v="7"/>
          </reference>
          <reference field="17" count="1">
            <x v="4"/>
          </reference>
        </references>
      </pivotArea>
    </format>
    <format dxfId="62">
      <pivotArea dataOnly="0" labelOnly="1" outline="0" fieldPosition="0">
        <references count="4">
          <reference field="11" count="1" selected="0">
            <x v="4"/>
          </reference>
          <reference field="12" count="1" selected="0">
            <x v="23"/>
          </reference>
          <reference field="13" count="1" selected="0">
            <x v="8"/>
          </reference>
          <reference field="17" count="1">
            <x v="2"/>
          </reference>
        </references>
      </pivotArea>
    </format>
    <format dxfId="61">
      <pivotArea dataOnly="0" labelOnly="1" outline="0" fieldPosition="0">
        <references count="4">
          <reference field="11" count="1" selected="0">
            <x v="4"/>
          </reference>
          <reference field="12" count="1" selected="0">
            <x v="60"/>
          </reference>
          <reference field="13" count="1" selected="0">
            <x v="8"/>
          </reference>
          <reference field="17" count="1">
            <x v="4"/>
          </reference>
        </references>
      </pivotArea>
    </format>
    <format dxfId="60">
      <pivotArea dataOnly="0" labelOnly="1" outline="0" fieldPosition="0">
        <references count="4">
          <reference field="11" count="1" selected="0">
            <x v="4"/>
          </reference>
          <reference field="12" count="1" selected="0">
            <x v="81"/>
          </reference>
          <reference field="13" count="1" selected="0">
            <x v="8"/>
          </reference>
          <reference field="17" count="1">
            <x v="0"/>
          </reference>
        </references>
      </pivotArea>
    </format>
    <format dxfId="59">
      <pivotArea dataOnly="0" labelOnly="1" outline="0" fieldPosition="0">
        <references count="4">
          <reference field="11" count="1" selected="0">
            <x v="4"/>
          </reference>
          <reference field="12" count="1" selected="0">
            <x v="117"/>
          </reference>
          <reference field="13" count="1" selected="0">
            <x v="8"/>
          </reference>
          <reference field="17" count="1">
            <x v="3"/>
          </reference>
        </references>
      </pivotArea>
    </format>
    <format dxfId="58">
      <pivotArea dataOnly="0" labelOnly="1" outline="0" fieldPosition="0">
        <references count="4">
          <reference field="11" count="1" selected="0">
            <x v="4"/>
          </reference>
          <reference field="12" count="1" selected="0">
            <x v="159"/>
          </reference>
          <reference field="13" count="1" selected="0">
            <x v="8"/>
          </reference>
          <reference field="17" count="1">
            <x v="0"/>
          </reference>
        </references>
      </pivotArea>
    </format>
    <format dxfId="57">
      <pivotArea dataOnly="0" labelOnly="1" outline="0" fieldPosition="0">
        <references count="4">
          <reference field="11" count="1" selected="0">
            <x v="4"/>
          </reference>
          <reference field="12" count="1" selected="0">
            <x v="51"/>
          </reference>
          <reference field="13" count="1" selected="0">
            <x v="9"/>
          </reference>
          <reference field="17" count="1">
            <x v="1"/>
          </reference>
        </references>
      </pivotArea>
    </format>
    <format dxfId="56">
      <pivotArea dataOnly="0" labelOnly="1" outline="0" fieldPosition="0">
        <references count="4">
          <reference field="11" count="1" selected="0">
            <x v="4"/>
          </reference>
          <reference field="12" count="1" selected="0">
            <x v="11"/>
          </reference>
          <reference field="13" count="1" selected="0">
            <x v="10"/>
          </reference>
          <reference field="17" count="1">
            <x v="3"/>
          </reference>
        </references>
      </pivotArea>
    </format>
    <format dxfId="55">
      <pivotArea dataOnly="0" labelOnly="1" outline="0" fieldPosition="0">
        <references count="4">
          <reference field="11" count="1" selected="0">
            <x v="4"/>
          </reference>
          <reference field="12" count="1" selected="0">
            <x v="113"/>
          </reference>
          <reference field="13" count="1" selected="0">
            <x v="10"/>
          </reference>
          <reference field="17" count="1">
            <x v="4"/>
          </reference>
        </references>
      </pivotArea>
    </format>
    <format dxfId="54">
      <pivotArea dataOnly="0" labelOnly="1" outline="0" fieldPosition="0">
        <references count="4">
          <reference field="11" count="1" selected="0">
            <x v="4"/>
          </reference>
          <reference field="12" count="1" selected="0">
            <x v="121"/>
          </reference>
          <reference field="13" count="1" selected="0">
            <x v="10"/>
          </reference>
          <reference field="17" count="1">
            <x v="1"/>
          </reference>
        </references>
      </pivotArea>
    </format>
    <format dxfId="53">
      <pivotArea dataOnly="0" labelOnly="1" outline="0" fieldPosition="0">
        <references count="4">
          <reference field="11" count="1" selected="0">
            <x v="4"/>
          </reference>
          <reference field="12" count="1" selected="0">
            <x v="145"/>
          </reference>
          <reference field="13" count="1" selected="0">
            <x v="10"/>
          </reference>
          <reference field="17" count="1">
            <x v="1"/>
          </reference>
        </references>
      </pivotArea>
    </format>
    <format dxfId="52">
      <pivotArea dataOnly="0" labelOnly="1" outline="0" fieldPosition="0">
        <references count="4">
          <reference field="11" count="1" selected="0">
            <x v="4"/>
          </reference>
          <reference field="12" count="1" selected="0">
            <x v="7"/>
          </reference>
          <reference field="13" count="1" selected="0">
            <x v="11"/>
          </reference>
          <reference field="17" count="1">
            <x v="4"/>
          </reference>
        </references>
      </pivotArea>
    </format>
    <format dxfId="51">
      <pivotArea dataOnly="0" labelOnly="1" outline="0" fieldPosition="0">
        <references count="4">
          <reference field="11" count="1" selected="0">
            <x v="4"/>
          </reference>
          <reference field="12" count="1" selected="0">
            <x v="13"/>
          </reference>
          <reference field="13" count="1" selected="0">
            <x v="11"/>
          </reference>
          <reference field="17" count="1">
            <x v="0"/>
          </reference>
        </references>
      </pivotArea>
    </format>
    <format dxfId="50">
      <pivotArea dataOnly="0" labelOnly="1" outline="0" fieldPosition="0">
        <references count="4">
          <reference field="11" count="1" selected="0">
            <x v="4"/>
          </reference>
          <reference field="12" count="1" selected="0">
            <x v="15"/>
          </reference>
          <reference field="13" count="1" selected="0">
            <x v="11"/>
          </reference>
          <reference field="17" count="1">
            <x v="4"/>
          </reference>
        </references>
      </pivotArea>
    </format>
    <format dxfId="49">
      <pivotArea dataOnly="0" labelOnly="1" outline="0" fieldPosition="0">
        <references count="4">
          <reference field="11" count="1" selected="0">
            <x v="4"/>
          </reference>
          <reference field="12" count="1" selected="0">
            <x v="41"/>
          </reference>
          <reference field="13" count="1" selected="0">
            <x v="11"/>
          </reference>
          <reference field="17" count="1">
            <x v="4"/>
          </reference>
        </references>
      </pivotArea>
    </format>
    <format dxfId="48">
      <pivotArea dataOnly="0" labelOnly="1" outline="0" fieldPosition="0">
        <references count="4">
          <reference field="11" count="1" selected="0">
            <x v="4"/>
          </reference>
          <reference field="12" count="1" selected="0">
            <x v="74"/>
          </reference>
          <reference field="13" count="1" selected="0">
            <x v="11"/>
          </reference>
          <reference field="17" count="1">
            <x v="3"/>
          </reference>
        </references>
      </pivotArea>
    </format>
    <format dxfId="47">
      <pivotArea dataOnly="0" labelOnly="1" outline="0" fieldPosition="0">
        <references count="4">
          <reference field="11" count="1" selected="0">
            <x v="4"/>
          </reference>
          <reference field="12" count="1" selected="0">
            <x v="79"/>
          </reference>
          <reference field="13" count="1" selected="0">
            <x v="11"/>
          </reference>
          <reference field="17" count="1">
            <x v="1"/>
          </reference>
        </references>
      </pivotArea>
    </format>
    <format dxfId="46">
      <pivotArea dataOnly="0" labelOnly="1" outline="0" fieldPosition="0">
        <references count="4">
          <reference field="11" count="1" selected="0">
            <x v="4"/>
          </reference>
          <reference field="12" count="1" selected="0">
            <x v="85"/>
          </reference>
          <reference field="13" count="1" selected="0">
            <x v="11"/>
          </reference>
          <reference field="17" count="1">
            <x v="0"/>
          </reference>
        </references>
      </pivotArea>
    </format>
    <format dxfId="45">
      <pivotArea dataOnly="0" labelOnly="1" outline="0" fieldPosition="0">
        <references count="4">
          <reference field="11" count="1" selected="0">
            <x v="4"/>
          </reference>
          <reference field="12" count="1" selected="0">
            <x v="91"/>
          </reference>
          <reference field="13" count="1" selected="0">
            <x v="11"/>
          </reference>
          <reference field="17" count="1">
            <x v="3"/>
          </reference>
        </references>
      </pivotArea>
    </format>
    <format dxfId="44">
      <pivotArea dataOnly="0" labelOnly="1" outline="0" fieldPosition="0">
        <references count="4">
          <reference field="11" count="1" selected="0">
            <x v="4"/>
          </reference>
          <reference field="12" count="1" selected="0">
            <x v="96"/>
          </reference>
          <reference field="13" count="1" selected="0">
            <x v="11"/>
          </reference>
          <reference field="17" count="1">
            <x v="4"/>
          </reference>
        </references>
      </pivotArea>
    </format>
    <format dxfId="43">
      <pivotArea dataOnly="0" labelOnly="1" outline="0" fieldPosition="0">
        <references count="4">
          <reference field="11" count="1" selected="0">
            <x v="4"/>
          </reference>
          <reference field="12" count="1" selected="0">
            <x v="105"/>
          </reference>
          <reference field="13" count="1" selected="0">
            <x v="11"/>
          </reference>
          <reference field="17" count="1">
            <x v="4"/>
          </reference>
        </references>
      </pivotArea>
    </format>
    <format dxfId="42">
      <pivotArea dataOnly="0" labelOnly="1" outline="0" fieldPosition="0">
        <references count="4">
          <reference field="11" count="1" selected="0">
            <x v="4"/>
          </reference>
          <reference field="12" count="1" selected="0">
            <x v="106"/>
          </reference>
          <reference field="13" count="1" selected="0">
            <x v="11"/>
          </reference>
          <reference field="17" count="1">
            <x v="4"/>
          </reference>
        </references>
      </pivotArea>
    </format>
    <format dxfId="41">
      <pivotArea dataOnly="0" labelOnly="1" outline="0" fieldPosition="0">
        <references count="4">
          <reference field="11" count="1" selected="0">
            <x v="4"/>
          </reference>
          <reference field="12" count="1" selected="0">
            <x v="124"/>
          </reference>
          <reference field="13" count="1" selected="0">
            <x v="11"/>
          </reference>
          <reference field="17" count="1">
            <x v="2"/>
          </reference>
        </references>
      </pivotArea>
    </format>
    <format dxfId="40">
      <pivotArea dataOnly="0" labelOnly="1" outline="0" fieldPosition="0">
        <references count="4">
          <reference field="11" count="1" selected="0">
            <x v="4"/>
          </reference>
          <reference field="12" count="1" selected="0">
            <x v="135"/>
          </reference>
          <reference field="13" count="1" selected="0">
            <x v="11"/>
          </reference>
          <reference field="17" count="1">
            <x v="0"/>
          </reference>
        </references>
      </pivotArea>
    </format>
    <format dxfId="39">
      <pivotArea dataOnly="0" labelOnly="1" outline="0" fieldPosition="0">
        <references count="4">
          <reference field="11" count="1" selected="0">
            <x v="4"/>
          </reference>
          <reference field="12" count="1" selected="0">
            <x v="136"/>
          </reference>
          <reference field="13" count="1" selected="0">
            <x v="11"/>
          </reference>
          <reference field="17" count="1">
            <x v="3"/>
          </reference>
        </references>
      </pivotArea>
    </format>
    <format dxfId="38">
      <pivotArea dataOnly="0" labelOnly="1" outline="0" fieldPosition="0">
        <references count="4">
          <reference field="11" count="1" selected="0">
            <x v="4"/>
          </reference>
          <reference field="12" count="1" selected="0">
            <x v="148"/>
          </reference>
          <reference field="13" count="1" selected="0">
            <x v="11"/>
          </reference>
          <reference field="17" count="1">
            <x v="1"/>
          </reference>
        </references>
      </pivotArea>
    </format>
    <format dxfId="37">
      <pivotArea dataOnly="0" labelOnly="1" outline="0" fieldPosition="0">
        <references count="4">
          <reference field="11" count="1" selected="0">
            <x v="4"/>
          </reference>
          <reference field="12" count="1" selected="0">
            <x v="165"/>
          </reference>
          <reference field="13" count="1" selected="0">
            <x v="11"/>
          </reference>
          <reference field="17" count="1">
            <x v="2"/>
          </reference>
        </references>
      </pivotArea>
    </format>
    <format dxfId="36">
      <pivotArea dataOnly="0" labelOnly="1" outline="0" fieldPosition="0">
        <references count="4">
          <reference field="11" count="1" selected="0">
            <x v="4"/>
          </reference>
          <reference field="12" count="1" selected="0">
            <x v="57"/>
          </reference>
          <reference field="13" count="1" selected="0">
            <x v="12"/>
          </reference>
          <reference field="17" count="1">
            <x v="4"/>
          </reference>
        </references>
      </pivotArea>
    </format>
    <format dxfId="35">
      <pivotArea dataOnly="0" labelOnly="1" outline="0" fieldPosition="0">
        <references count="4">
          <reference field="11" count="1" selected="0">
            <x v="4"/>
          </reference>
          <reference field="12" count="1" selected="0">
            <x v="107"/>
          </reference>
          <reference field="13" count="1" selected="0">
            <x v="12"/>
          </reference>
          <reference field="17" count="1">
            <x v="3"/>
          </reference>
        </references>
      </pivotArea>
    </format>
    <format dxfId="34">
      <pivotArea dataOnly="0" outline="0" fieldPosition="0">
        <references count="1">
          <reference field="13" count="1">
            <x v="4"/>
          </reference>
        </references>
      </pivotArea>
    </format>
    <format dxfId="33">
      <pivotArea dataOnly="0" labelOnly="1" outline="0" fieldPosition="0">
        <references count="1">
          <reference field="11" count="1">
            <x v="2"/>
          </reference>
        </references>
      </pivotArea>
    </format>
    <format dxfId="32">
      <pivotArea dataOnly="0" labelOnly="1" outline="0" fieldPosition="0">
        <references count="2">
          <reference field="11" count="1" selected="0">
            <x v="2"/>
          </reference>
          <reference field="13" count="1">
            <x v="11"/>
          </reference>
        </references>
      </pivotArea>
    </format>
    <format dxfId="31">
      <pivotArea dataOnly="0" labelOnly="1" outline="0" fieldPosition="0">
        <references count="2">
          <reference field="11" count="1" selected="0">
            <x v="2"/>
          </reference>
          <reference field="13" count="1">
            <x v="6"/>
          </reference>
        </references>
      </pivotArea>
    </format>
    <format dxfId="30">
      <pivotArea dataOnly="0" labelOnly="1" outline="0" offset="IV256" fieldPosition="0">
        <references count="1">
          <reference field="11" count="1">
            <x v="1"/>
          </reference>
        </references>
      </pivotArea>
    </format>
    <format dxfId="29">
      <pivotArea dataOnly="0" labelOnly="1" outline="0" fieldPosition="0">
        <references count="1">
          <reference field="11" count="1">
            <x v="1"/>
          </reference>
        </references>
      </pivotArea>
    </format>
    <format dxfId="28">
      <pivotArea dataOnly="0" outline="0" fieldPosition="0">
        <references count="1">
          <reference field="13" count="1">
            <x v="12"/>
          </reference>
        </references>
      </pivotArea>
    </format>
    <format dxfId="27">
      <pivotArea dataOnly="0" labelOnly="1" outline="0" fieldPosition="0">
        <references count="2">
          <reference field="11" count="1" selected="0">
            <x v="3"/>
          </reference>
          <reference field="13" count="1">
            <x v="6"/>
          </reference>
        </references>
      </pivotArea>
    </format>
    <format dxfId="26">
      <pivotArea dataOnly="0" labelOnly="1" outline="0" fieldPosition="0">
        <references count="2">
          <reference field="11" count="1" selected="0">
            <x v="4"/>
          </reference>
          <reference field="13" count="1">
            <x v="1"/>
          </reference>
        </references>
      </pivotArea>
    </format>
    <format dxfId="25">
      <pivotArea dataOnly="0" labelOnly="1" outline="0" fieldPosition="0">
        <references count="2">
          <reference field="11" count="1" selected="0">
            <x v="4"/>
          </reference>
          <reference field="13" count="1">
            <x v="2"/>
          </reference>
        </references>
      </pivotArea>
    </format>
    <format dxfId="24">
      <pivotArea dataOnly="0" labelOnly="1" outline="0" fieldPosition="0">
        <references count="2">
          <reference field="11" count="1" selected="0">
            <x v="4"/>
          </reference>
          <reference field="13" count="1">
            <x v="7"/>
          </reference>
        </references>
      </pivotArea>
    </format>
    <format dxfId="23">
      <pivotArea dataOnly="0" outline="0" fieldPosition="0">
        <references count="1">
          <reference field="13" count="1">
            <x v="8"/>
          </reference>
        </references>
      </pivotArea>
    </format>
    <format dxfId="22">
      <pivotArea dataOnly="0" labelOnly="1" outline="0" fieldPosition="0">
        <references count="2">
          <reference field="11" count="1" selected="0">
            <x v="4"/>
          </reference>
          <reference field="13" count="1">
            <x v="10"/>
          </reference>
        </references>
      </pivotArea>
    </format>
  </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0C6BA5-DC3C-4DFD-83A4-FDB0CE2BF1CB}" name="Joining Trend"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location ref="G15:H23" firstHeaderRow="1" firstDataRow="1" firstDataCol="1"/>
  <pivotFields count="20">
    <pivotField dataField="1" showAll="0"/>
    <pivotField showAll="0"/>
    <pivotField showAll="0">
      <items count="3">
        <item x="1"/>
        <item x="0"/>
        <item t="default"/>
      </items>
    </pivotField>
    <pivotField numFmtId="164" showAll="0"/>
    <pivotField showAll="0"/>
    <pivotField numFmtId="164" showAll="0"/>
    <pivotField showAll="0">
      <items count="4">
        <item x="2"/>
        <item x="0"/>
        <item x="1"/>
        <item t="default"/>
      </items>
    </pivotField>
    <pivotField showAll="0"/>
    <pivotField multipleItemSelectionAllowed="1" showAll="0">
      <items count="3">
        <item h="1" x="0"/>
        <item x="1"/>
        <item t="default"/>
      </items>
    </pivotField>
    <pivotField showAll="0">
      <items count="6">
        <item x="0"/>
        <item x="1"/>
        <item x="2"/>
        <item x="4"/>
        <item x="3"/>
        <item t="default"/>
      </items>
    </pivotField>
    <pivotField showAll="0"/>
    <pivotField showAll="0">
      <items count="6">
        <item x="0"/>
        <item x="4"/>
        <item x="3"/>
        <item x="2"/>
        <item x="1"/>
        <item t="default"/>
      </items>
    </pivotField>
    <pivotField showAll="0"/>
    <pivotField showAll="0"/>
    <pivotField showAll="0"/>
    <pivotField showAll="0"/>
    <pivotField showAll="0">
      <items count="8">
        <item x="6"/>
        <item x="4"/>
        <item x="3"/>
        <item x="1"/>
        <item x="2"/>
        <item x="5"/>
        <item x="0"/>
        <item t="default"/>
      </items>
    </pivotField>
    <pivotField showAll="0">
      <items count="6">
        <item x="4"/>
        <item x="1"/>
        <item x="3"/>
        <item x="2"/>
        <item x="0"/>
        <item t="default"/>
      </items>
    </pivotField>
    <pivotField axis="axisRow" showAll="0">
      <items count="25">
        <item x="21"/>
        <item x="7"/>
        <item x="0"/>
        <item x="6"/>
        <item x="10"/>
        <item x="11"/>
        <item x="12"/>
        <item x="13"/>
        <item x="9"/>
        <item x="23"/>
        <item x="8"/>
        <item x="14"/>
        <item x="2"/>
        <item x="15"/>
        <item x="16"/>
        <item x="18"/>
        <item x="4"/>
        <item x="20"/>
        <item x="17"/>
        <item x="5"/>
        <item x="1"/>
        <item x="3"/>
        <item x="19"/>
        <item x="22"/>
        <item t="default"/>
      </items>
    </pivotField>
    <pivotField showAll="0"/>
  </pivotFields>
  <rowFields count="1">
    <field x="18"/>
  </rowFields>
  <rowItems count="8">
    <i>
      <x v="8"/>
    </i>
    <i>
      <x v="9"/>
    </i>
    <i>
      <x v="18"/>
    </i>
    <i>
      <x v="19"/>
    </i>
    <i>
      <x v="20"/>
    </i>
    <i>
      <x v="21"/>
    </i>
    <i>
      <x v="22"/>
    </i>
    <i t="grand">
      <x/>
    </i>
  </rowItems>
  <colItems count="1">
    <i/>
  </colItems>
  <dataFields count="1">
    <dataField name="Count of EmpCode2" fld="0" subtotal="count" showDataAs="runTotal" baseField="18" baseItem="13"/>
  </dataFields>
  <chartFormats count="5">
    <chartFormat chart="5"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D038DE-BA1B-4286-8C51-1A2C5003FFD5}" name="Total Employee Coun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7:B174" firstHeaderRow="1" firstDataRow="1" firstDataCol="1"/>
  <pivotFields count="20">
    <pivotField axis="axisRow" dataField="1" showAll="0">
      <items count="167">
        <item x="11"/>
        <item x="86"/>
        <item x="12"/>
        <item x="73"/>
        <item x="74"/>
        <item x="15"/>
        <item x="17"/>
        <item x="66"/>
        <item x="19"/>
        <item x="20"/>
        <item x="24"/>
        <item x="25"/>
        <item x="26"/>
        <item x="27"/>
        <item x="93"/>
        <item x="28"/>
        <item x="29"/>
        <item x="23"/>
        <item x="161"/>
        <item x="30"/>
        <item x="156"/>
        <item x="31"/>
        <item x="32"/>
        <item x="22"/>
        <item x="33"/>
        <item x="34"/>
        <item x="94"/>
        <item x="95"/>
        <item x="96"/>
        <item x="97"/>
        <item x="91"/>
        <item x="92"/>
        <item x="2"/>
        <item x="35"/>
        <item x="36"/>
        <item x="21"/>
        <item x="37"/>
        <item x="38"/>
        <item x="39"/>
        <item x="40"/>
        <item x="41"/>
        <item x="84"/>
        <item x="98"/>
        <item x="83"/>
        <item x="42"/>
        <item x="99"/>
        <item x="100"/>
        <item x="101"/>
        <item x="44"/>
        <item x="102"/>
        <item x="46"/>
        <item x="48"/>
        <item x="162"/>
        <item x="67"/>
        <item x="103"/>
        <item x="104"/>
        <item x="10"/>
        <item x="45"/>
        <item x="105"/>
        <item x="106"/>
        <item x="107"/>
        <item x="49"/>
        <item x="108"/>
        <item x="109"/>
        <item x="85"/>
        <item x="110"/>
        <item x="76"/>
        <item x="111"/>
        <item x="50"/>
        <item x="88"/>
        <item x="51"/>
        <item x="87"/>
        <item x="112"/>
        <item x="113"/>
        <item x="114"/>
        <item x="52"/>
        <item x="115"/>
        <item x="163"/>
        <item x="53"/>
        <item x="116"/>
        <item x="118"/>
        <item x="55"/>
        <item x="57"/>
        <item x="43"/>
        <item x="77"/>
        <item x="59"/>
        <item x="13"/>
        <item x="119"/>
        <item x="120"/>
        <item x="14"/>
        <item x="75"/>
        <item x="78"/>
        <item x="16"/>
        <item x="60"/>
        <item x="121"/>
        <item x="122"/>
        <item x="18"/>
        <item x="61"/>
        <item x="123"/>
        <item x="79"/>
        <item x="68"/>
        <item x="89"/>
        <item x="158"/>
        <item x="62"/>
        <item x="124"/>
        <item x="69"/>
        <item x="125"/>
        <item x="56"/>
        <item x="164"/>
        <item x="58"/>
        <item x="90"/>
        <item x="159"/>
        <item x="160"/>
        <item x="63"/>
        <item x="1"/>
        <item x="54"/>
        <item x="70"/>
        <item x="5"/>
        <item x="81"/>
        <item x="71"/>
        <item x="126"/>
        <item x="80"/>
        <item x="6"/>
        <item x="7"/>
        <item x="8"/>
        <item x="9"/>
        <item x="129"/>
        <item x="72"/>
        <item x="157"/>
        <item x="82"/>
        <item x="127"/>
        <item x="128"/>
        <item x="3"/>
        <item x="4"/>
        <item x="134"/>
        <item x="149"/>
        <item x="135"/>
        <item x="151"/>
        <item x="64"/>
        <item x="136"/>
        <item x="150"/>
        <item x="152"/>
        <item x="139"/>
        <item x="140"/>
        <item x="141"/>
        <item x="142"/>
        <item x="143"/>
        <item x="144"/>
        <item x="165"/>
        <item x="138"/>
        <item x="0"/>
        <item x="137"/>
        <item x="153"/>
        <item x="145"/>
        <item x="146"/>
        <item x="154"/>
        <item x="117"/>
        <item x="130"/>
        <item x="148"/>
        <item x="65"/>
        <item x="47"/>
        <item x="131"/>
        <item x="132"/>
        <item x="133"/>
        <item x="155"/>
        <item x="147"/>
        <item t="default"/>
      </items>
    </pivotField>
    <pivotField showAll="0"/>
    <pivotField showAll="0">
      <items count="3">
        <item x="1"/>
        <item x="0"/>
        <item t="default"/>
      </items>
    </pivotField>
    <pivotField numFmtId="164" showAll="0"/>
    <pivotField showAll="0"/>
    <pivotField numFmtId="164" showAll="0"/>
    <pivotField showAll="0"/>
    <pivotField showAll="0"/>
    <pivotField showAll="0">
      <items count="3">
        <item h="1" x="0"/>
        <item x="1"/>
        <item t="default"/>
      </items>
    </pivotField>
    <pivotField showAll="0">
      <items count="6">
        <item x="0"/>
        <item x="1"/>
        <item x="2"/>
        <item x="4"/>
        <item x="3"/>
        <item t="default"/>
      </items>
    </pivotField>
    <pivotField showAll="0"/>
    <pivotField showAll="0">
      <items count="6">
        <item x="0"/>
        <item x="4"/>
        <item x="3"/>
        <item x="2"/>
        <item x="1"/>
        <item t="default"/>
      </items>
    </pivotField>
    <pivotField showAll="0"/>
    <pivotField showAll="0"/>
    <pivotField showAll="0"/>
    <pivotField showAll="0"/>
    <pivotField showAll="0">
      <items count="8">
        <item x="6"/>
        <item x="4"/>
        <item x="3"/>
        <item x="1"/>
        <item x="2"/>
        <item x="5"/>
        <item x="0"/>
        <item t="default"/>
      </items>
    </pivotField>
    <pivotField showAll="0"/>
    <pivotField showAll="0"/>
    <pivotField showAll="0"/>
  </pivotFields>
  <rowFields count="1">
    <field x="0"/>
  </rowFields>
  <rowItems count="1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t="grand">
      <x/>
    </i>
  </rowItems>
  <colItems count="1">
    <i/>
  </colItems>
  <dataFields count="1">
    <dataField name="Count of EmpCod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CD20B6-7E24-487E-80DD-51A317F02489}" name="Active Employees Coun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9:D10" firstHeaderRow="1" firstDataRow="1" firstDataCol="0" rowPageCount="1" colPageCount="1"/>
  <pivotFields count="20">
    <pivotField dataField="1" showAll="0"/>
    <pivotField showAll="0"/>
    <pivotField showAll="0">
      <items count="3">
        <item x="1"/>
        <item x="0"/>
        <item t="default"/>
      </items>
    </pivotField>
    <pivotField numFmtId="164" showAll="0"/>
    <pivotField showAll="0"/>
    <pivotField numFmtId="164" showAll="0"/>
    <pivotField showAll="0"/>
    <pivotField showAll="0"/>
    <pivotField axis="axisPage" multipleItemSelectionAllowed="1" showAll="0">
      <items count="3">
        <item x="0"/>
        <item h="1" x="1"/>
        <item t="default"/>
      </items>
    </pivotField>
    <pivotField showAll="0">
      <items count="6">
        <item x="0"/>
        <item x="1"/>
        <item x="2"/>
        <item x="4"/>
        <item x="3"/>
        <item t="default"/>
      </items>
    </pivotField>
    <pivotField showAll="0"/>
    <pivotField showAll="0">
      <items count="6">
        <item x="0"/>
        <item x="4"/>
        <item x="3"/>
        <item x="2"/>
        <item x="1"/>
        <item t="default"/>
      </items>
    </pivotField>
    <pivotField showAll="0"/>
    <pivotField showAll="0"/>
    <pivotField showAll="0"/>
    <pivotField showAll="0"/>
    <pivotField showAll="0">
      <items count="8">
        <item x="6"/>
        <item x="4"/>
        <item x="3"/>
        <item x="1"/>
        <item x="2"/>
        <item x="5"/>
        <item x="0"/>
        <item t="default"/>
      </items>
    </pivotField>
    <pivotField showAll="0"/>
    <pivotField showAll="0"/>
    <pivotField showAll="0"/>
  </pivotFields>
  <rowItems count="1">
    <i/>
  </rowItems>
  <colItems count="1">
    <i/>
  </colItems>
  <pageFields count="1">
    <pageField fld="8" hier="-1"/>
  </pageFields>
  <dataFields count="1">
    <dataField name="Count of EmpCod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FC1891-FE3C-4929-8B6E-88375F43447A}" name="Female_mal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J7:K10" firstHeaderRow="1" firstDataRow="1" firstDataCol="1"/>
  <pivotFields count="20">
    <pivotField dataField="1" showAll="0"/>
    <pivotField showAll="0"/>
    <pivotField axis="axisRow" showAll="0">
      <items count="3">
        <item x="1"/>
        <item x="0"/>
        <item t="default"/>
      </items>
    </pivotField>
    <pivotField numFmtId="164" showAll="0"/>
    <pivotField showAll="0"/>
    <pivotField numFmtId="164" showAll="0"/>
    <pivotField showAll="0"/>
    <pivotField showAll="0"/>
    <pivotField showAll="0">
      <items count="3">
        <item h="1" x="0"/>
        <item x="1"/>
        <item t="default"/>
      </items>
    </pivotField>
    <pivotField showAll="0">
      <items count="6">
        <item x="0"/>
        <item x="1"/>
        <item x="2"/>
        <item x="4"/>
        <item x="3"/>
        <item t="default"/>
      </items>
    </pivotField>
    <pivotField showAll="0"/>
    <pivotField showAll="0">
      <items count="6">
        <item x="0"/>
        <item x="4"/>
        <item x="3"/>
        <item x="2"/>
        <item x="1"/>
        <item t="default"/>
      </items>
    </pivotField>
    <pivotField showAll="0"/>
    <pivotField showAll="0"/>
    <pivotField showAll="0"/>
    <pivotField showAll="0"/>
    <pivotField showAll="0">
      <items count="8">
        <item x="6"/>
        <item x="4"/>
        <item x="3"/>
        <item x="1"/>
        <item x="2"/>
        <item x="5"/>
        <item x="0"/>
        <item t="default"/>
      </items>
    </pivotField>
    <pivotField showAll="0"/>
    <pivotField showAll="0"/>
    <pivotField showAll="0"/>
  </pivotFields>
  <rowFields count="1">
    <field x="2"/>
  </rowFields>
  <rowItems count="3">
    <i>
      <x/>
    </i>
    <i>
      <x v="1"/>
    </i>
    <i t="grand">
      <x/>
    </i>
  </rowItems>
  <colItems count="1">
    <i/>
  </colItems>
  <dataFields count="1">
    <dataField name="Count of EmpCode" fld="0" subtotal="count" baseField="0" baseItem="0"/>
  </dataFields>
  <chartFormats count="3">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2" count="1" selected="0">
            <x v="0"/>
          </reference>
        </references>
      </pivotArea>
    </chartFormat>
    <chartFormat chart="6" format="1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E76358-BD20-4CD1-BFB3-D874EBF51D76}" name="Departmen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3">
  <location ref="M7:N11" firstHeaderRow="1" firstDataRow="1" firstDataCol="1"/>
  <pivotFields count="20">
    <pivotField dataField="1" showAll="0"/>
    <pivotField showAll="0"/>
    <pivotField showAll="0">
      <items count="3">
        <item x="1"/>
        <item x="0"/>
        <item t="default"/>
      </items>
    </pivotField>
    <pivotField numFmtId="164" showAll="0"/>
    <pivotField showAll="0"/>
    <pivotField numFmtId="164" showAll="0"/>
    <pivotField showAll="0"/>
    <pivotField showAll="0"/>
    <pivotField showAll="0">
      <items count="3">
        <item h="1" x="0"/>
        <item x="1"/>
        <item t="default"/>
      </items>
    </pivotField>
    <pivotField showAll="0">
      <items count="6">
        <item x="0"/>
        <item x="1"/>
        <item x="2"/>
        <item x="4"/>
        <item x="3"/>
        <item t="default"/>
      </items>
    </pivotField>
    <pivotField showAll="0"/>
    <pivotField axis="axisRow" showAll="0" sortType="ascending">
      <items count="6">
        <item x="0"/>
        <item x="4"/>
        <item x="3"/>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8">
        <item x="6"/>
        <item x="4"/>
        <item x="3"/>
        <item x="1"/>
        <item x="2"/>
        <item x="5"/>
        <item x="0"/>
        <item t="default"/>
      </items>
    </pivotField>
    <pivotField showAll="0"/>
    <pivotField showAll="0"/>
    <pivotField showAll="0"/>
  </pivotFields>
  <rowFields count="1">
    <field x="11"/>
  </rowFields>
  <rowItems count="4">
    <i>
      <x/>
    </i>
    <i>
      <x v="3"/>
    </i>
    <i>
      <x v="4"/>
    </i>
    <i t="grand">
      <x/>
    </i>
  </rowItems>
  <colItems count="1">
    <i/>
  </colItems>
  <dataFields count="1">
    <dataField name="Count of EmpCode" fld="0" subtotal="count" baseField="0" baseItem="0"/>
  </dataFields>
  <chartFormats count="5">
    <chartFormat chart="16" format="4"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128CCC-44E1-4711-BC27-32843645E507}" name="management-Non Ma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7">
  <location ref="J16:K19" firstHeaderRow="1" firstDataRow="1" firstDataCol="1"/>
  <pivotFields count="20">
    <pivotField dataField="1" showAll="0"/>
    <pivotField showAll="0"/>
    <pivotField showAll="0">
      <items count="3">
        <item x="1"/>
        <item x="0"/>
        <item t="default"/>
      </items>
    </pivotField>
    <pivotField numFmtId="164" showAll="0"/>
    <pivotField showAll="0"/>
    <pivotField numFmtId="164" showAll="0"/>
    <pivotField showAll="0"/>
    <pivotField showAll="0"/>
    <pivotField showAll="0">
      <items count="3">
        <item h="1" x="0"/>
        <item x="1"/>
        <item t="default"/>
      </items>
    </pivotField>
    <pivotField showAll="0">
      <items count="6">
        <item x="0"/>
        <item x="1"/>
        <item x="2"/>
        <item x="4"/>
        <item x="3"/>
        <item t="default"/>
      </items>
    </pivotField>
    <pivotField showAll="0"/>
    <pivotField showAll="0" sortType="ascending">
      <items count="6">
        <item x="0"/>
        <item x="4"/>
        <item x="3"/>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Row" showAll="0">
      <items count="3">
        <item x="0"/>
        <item x="1"/>
        <item t="default"/>
      </items>
    </pivotField>
    <pivotField showAll="0">
      <items count="8">
        <item x="6"/>
        <item x="4"/>
        <item x="3"/>
        <item x="1"/>
        <item x="2"/>
        <item x="5"/>
        <item x="0"/>
        <item t="default"/>
      </items>
    </pivotField>
    <pivotField showAll="0"/>
    <pivotField showAll="0"/>
    <pivotField showAll="0"/>
  </pivotFields>
  <rowFields count="1">
    <field x="15"/>
  </rowFields>
  <rowItems count="3">
    <i>
      <x/>
    </i>
    <i>
      <x v="1"/>
    </i>
    <i t="grand">
      <x/>
    </i>
  </rowItems>
  <colItems count="1">
    <i/>
  </colItems>
  <dataFields count="1">
    <dataField name="Count of EmpCode" fld="0" subtotal="count" baseField="0" baseItem="0"/>
  </dataFields>
  <chartFormats count="8">
    <chartFormat chart="13"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26" format="10" series="1">
      <pivotArea type="data" outline="0" fieldPosition="0">
        <references count="1">
          <reference field="4294967294" count="1" selected="0">
            <x v="0"/>
          </reference>
        </references>
      </pivotArea>
    </chartFormat>
    <chartFormat chart="26" format="11">
      <pivotArea type="data" outline="0" fieldPosition="0">
        <references count="2">
          <reference field="4294967294" count="1" selected="0">
            <x v="0"/>
          </reference>
          <reference field="15" count="1" selected="0">
            <x v="0"/>
          </reference>
        </references>
      </pivotArea>
    </chartFormat>
    <chartFormat chart="26" format="12">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BBBE9E9-66A9-4109-B267-1374C21AEA28}" name="Tenur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D17:E22" firstHeaderRow="1" firstDataRow="1" firstDataCol="1"/>
  <pivotFields count="20">
    <pivotField dataField="1" showAll="0"/>
    <pivotField showAll="0"/>
    <pivotField showAll="0">
      <items count="3">
        <item x="1"/>
        <item x="0"/>
        <item t="default"/>
      </items>
    </pivotField>
    <pivotField numFmtId="164" showAll="0"/>
    <pivotField showAll="0"/>
    <pivotField numFmtId="164" showAll="0"/>
    <pivotField showAll="0"/>
    <pivotField showAll="0"/>
    <pivotField multipleItemSelectionAllowed="1" showAll="0">
      <items count="3">
        <item h="1" x="0"/>
        <item x="1"/>
        <item t="default"/>
      </items>
    </pivotField>
    <pivotField showAll="0">
      <items count="6">
        <item x="0"/>
        <item x="1"/>
        <item x="2"/>
        <item x="4"/>
        <item x="3"/>
        <item t="default"/>
      </items>
    </pivotField>
    <pivotField showAll="0"/>
    <pivotField showAll="0">
      <items count="6">
        <item x="0"/>
        <item x="4"/>
        <item x="3"/>
        <item x="2"/>
        <item x="1"/>
        <item t="default"/>
      </items>
    </pivotField>
    <pivotField showAll="0"/>
    <pivotField showAll="0"/>
    <pivotField showAll="0"/>
    <pivotField showAll="0"/>
    <pivotField showAll="0">
      <items count="8">
        <item x="6"/>
        <item x="4"/>
        <item x="3"/>
        <item x="1"/>
        <item x="2"/>
        <item x="5"/>
        <item x="0"/>
        <item t="default"/>
      </items>
    </pivotField>
    <pivotField axis="axisRow" showAll="0">
      <items count="6">
        <item x="4"/>
        <item x="1"/>
        <item x="3"/>
        <item x="2"/>
        <item x="0"/>
        <item t="default"/>
      </items>
    </pivotField>
    <pivotField showAll="0"/>
    <pivotField showAll="0"/>
  </pivotFields>
  <rowFields count="1">
    <field x="17"/>
  </rowFields>
  <rowItems count="5">
    <i>
      <x/>
    </i>
    <i>
      <x v="1"/>
    </i>
    <i>
      <x v="2"/>
    </i>
    <i>
      <x v="4"/>
    </i>
    <i t="grand">
      <x/>
    </i>
  </rowItems>
  <colItems count="1">
    <i/>
  </colItems>
  <dataFields count="1">
    <dataField name="Count of EmpCode" fld="0" subtotal="count" baseField="0" baseItem="0"/>
  </dataField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744911-2E78-40F6-9766-55DE8784BCB1}" name="Gradewis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7">
  <location ref="J24:K32" firstHeaderRow="1" firstDataRow="1" firstDataCol="1"/>
  <pivotFields count="20">
    <pivotField dataField="1" showAll="0"/>
    <pivotField showAll="0"/>
    <pivotField showAll="0">
      <items count="3">
        <item x="1"/>
        <item x="0"/>
        <item t="default"/>
      </items>
    </pivotField>
    <pivotField numFmtId="164" showAll="0"/>
    <pivotField showAll="0"/>
    <pivotField numFmtId="164" showAll="0"/>
    <pivotField showAll="0"/>
    <pivotField showAll="0"/>
    <pivotField showAll="0">
      <items count="3">
        <item h="1" x="0"/>
        <item x="1"/>
        <item t="default"/>
      </items>
    </pivotField>
    <pivotField showAll="0">
      <items count="6">
        <item x="0"/>
        <item x="1"/>
        <item x="2"/>
        <item x="4"/>
        <item x="3"/>
        <item t="default"/>
      </items>
    </pivotField>
    <pivotField showAll="0"/>
    <pivotField showAll="0" sortType="ascending">
      <items count="6">
        <item x="0"/>
        <item x="4"/>
        <item x="3"/>
        <item x="2"/>
        <item x="1"/>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10">
        <item x="6"/>
        <item x="0"/>
        <item x="5"/>
        <item x="7"/>
        <item x="4"/>
        <item x="1"/>
        <item x="2"/>
        <item x="8"/>
        <item x="3"/>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8">
        <item x="6"/>
        <item x="4"/>
        <item x="3"/>
        <item x="1"/>
        <item x="2"/>
        <item x="5"/>
        <item x="0"/>
        <item t="default"/>
      </items>
    </pivotField>
    <pivotField showAll="0"/>
    <pivotField showAll="0"/>
    <pivotField showAll="0"/>
  </pivotFields>
  <rowFields count="1">
    <field x="14"/>
  </rowFields>
  <rowItems count="8">
    <i>
      <x v="8"/>
    </i>
    <i>
      <x v="7"/>
    </i>
    <i>
      <x v="6"/>
    </i>
    <i>
      <x v="3"/>
    </i>
    <i>
      <x v="2"/>
    </i>
    <i>
      <x v="4"/>
    </i>
    <i>
      <x v="5"/>
    </i>
    <i t="grand">
      <x/>
    </i>
  </rowItems>
  <colItems count="1">
    <i/>
  </colItems>
  <dataFields count="1">
    <dataField name="Count of EmpCode" fld="0" subtotal="count" baseField="0" baseItem="0"/>
  </dataFields>
  <chartFormats count="6">
    <chartFormat chart="13"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094C640-40E3-47B3-9AE7-917705BB6348}" name="Inactive employees Coun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9:G10" firstHeaderRow="1" firstDataRow="1" firstDataCol="0" rowPageCount="1" colPageCount="1"/>
  <pivotFields count="20">
    <pivotField dataField="1" showAll="0"/>
    <pivotField showAll="0"/>
    <pivotField showAll="0">
      <items count="3">
        <item x="1"/>
        <item x="0"/>
        <item t="default"/>
      </items>
    </pivotField>
    <pivotField numFmtId="164" showAll="0"/>
    <pivotField showAll="0"/>
    <pivotField numFmtId="164" showAll="0"/>
    <pivotField showAll="0"/>
    <pivotField showAll="0"/>
    <pivotField multipleItemSelectionAllowed="1" showAll="0" defaultSubtotal="0">
      <items count="2">
        <item x="0"/>
        <item h="1" x="1"/>
      </items>
    </pivotField>
    <pivotField showAll="0">
      <items count="6">
        <item x="0"/>
        <item x="1"/>
        <item x="2"/>
        <item x="4"/>
        <item x="3"/>
        <item t="default"/>
      </items>
    </pivotField>
    <pivotField axis="axisPage" multipleItemSelectionAllowed="1" showAll="0">
      <items count="12">
        <item h="1" x="0"/>
        <item x="4"/>
        <item x="9"/>
        <item x="3"/>
        <item x="2"/>
        <item x="5"/>
        <item x="8"/>
        <item x="10"/>
        <item x="6"/>
        <item x="7"/>
        <item x="1"/>
        <item t="default"/>
      </items>
    </pivotField>
    <pivotField showAll="0">
      <items count="6">
        <item x="0"/>
        <item x="4"/>
        <item x="3"/>
        <item x="2"/>
        <item x="1"/>
        <item t="default"/>
      </items>
    </pivotField>
    <pivotField showAll="0"/>
    <pivotField showAll="0"/>
    <pivotField showAll="0"/>
    <pivotField showAll="0"/>
    <pivotField showAll="0">
      <items count="8">
        <item x="6"/>
        <item x="4"/>
        <item x="3"/>
        <item x="1"/>
        <item x="2"/>
        <item x="5"/>
        <item x="0"/>
        <item t="default"/>
      </items>
    </pivotField>
    <pivotField showAll="0"/>
    <pivotField showAll="0"/>
    <pivotField showAll="0"/>
  </pivotFields>
  <rowItems count="1">
    <i/>
  </rowItems>
  <colItems count="1">
    <i/>
  </colItems>
  <pageFields count="1">
    <pageField fld="10" hier="-1"/>
  </pageFields>
  <dataFields count="1">
    <dataField name="Count of EmpCod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1BF33984-9AB3-40B6-BE1F-CF5B239A086B}" sourceName="Age Group">
  <pivotTables>
    <pivotTable tabId="2" name="Female_male"/>
    <pivotTable tabId="2" name="Tenure"/>
    <pivotTable tabId="2" name="Joining Trend"/>
    <pivotTable tabId="2" name="management-Non Man"/>
    <pivotTable tabId="2" name="Gradewise"/>
    <pivotTable tabId="2" name="Department"/>
  </pivotTables>
  <data>
    <tabular pivotCacheId="781679701">
      <items count="7">
        <i x="4" s="1"/>
        <i x="3" s="1"/>
        <i x="1" s="1"/>
        <i x="2" s="1"/>
        <i x="5" s="1"/>
        <i x="0" s="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27046A06-1199-4A80-BD62-97D62FACC85F}" sourceName="Department">
  <pivotTables>
    <pivotTable tabId="2" name="Joining Trend"/>
    <pivotTable tabId="2" name="Tenure"/>
    <pivotTable tabId="2" name="management-Non Man"/>
    <pivotTable tabId="2" name="Gradewise"/>
    <pivotTable tabId="2" name="Female_male"/>
    <pivotTable tabId="2" name="Department"/>
  </pivotTables>
  <data>
    <tabular pivotCacheId="781679701">
      <items count="5">
        <i x="0" s="1"/>
        <i x="2" s="1"/>
        <i x="1" s="1"/>
        <i x="4" s="1" nd="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Status1" xr10:uid="{D23EBA8B-C1E5-4EF5-9C4E-7E3BFD076F0C}" sourceName="Employment Status">
  <pivotTables>
    <pivotTable tabId="2" name="Joining Trend"/>
    <pivotTable tabId="2" name="Tenure"/>
    <pivotTable tabId="2" name="management-Non Man"/>
    <pivotTable tabId="2" name="Gradewise"/>
    <pivotTable tabId="2" name="Female_male"/>
    <pivotTable tabId="2" name="Department"/>
  </pivotTables>
  <data>
    <tabular pivotCacheId="781679701">
      <items count="5">
        <i x="1" s="1"/>
        <i x="2" s="1"/>
        <i x="4" s="1"/>
        <i x="3" s="1"/>
        <i x="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1" xr10:uid="{449EE695-FB64-457E-97D4-D5603EFCD191}" sourceName="Status">
  <pivotTables>
    <pivotTable tabId="2" name="Joining Trend"/>
    <pivotTable tabId="2" name="Tenure"/>
    <pivotTable tabId="2" name="management-Non Man"/>
    <pivotTable tabId="2" name="Gradewise"/>
    <pivotTable tabId="2" name="Female_male"/>
    <pivotTable tabId="2" name="Department"/>
    <pivotTable tabId="4" name="PivotTable13"/>
  </pivotTables>
  <data>
    <tabular pivotCacheId="781679701">
      <items count="2">
        <i x="0"/>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1806199B-DB7C-4475-A7F9-02D9EC668B09}" sourceName="Gender">
  <pivotTables>
    <pivotTable tabId="2" name="Joining Trend"/>
    <pivotTable tabId="2" name="Tenure"/>
    <pivotTable tabId="2" name="management-Non Man"/>
    <pivotTable tabId="2" name="Gradewise"/>
    <pivotTable tabId="2" name="Female_male"/>
    <pivotTable tabId="2" name="Department"/>
  </pivotTables>
  <data>
    <tabular pivotCacheId="78167970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1" xr10:uid="{62513890-9626-48F2-BC03-86F4981B4BFD}" cache="Slicer_Age_Group" caption="Age Group" columnCount="2" style="SlicerStyleDark3" rowHeight="365760"/>
  <slicer name="Department 1" xr10:uid="{F6FA6107-53DB-4A18-8EF4-E13478537FA8}" cache="Slicer_Department1" caption="Department" columnCount="2" style="SlicerStyleDark3" rowHeight="365760"/>
  <slicer name="Employment Status 1" xr10:uid="{5B95D3AA-06C9-4E62-B8DE-DD848BF626D0}" cache="Slicer_Employment_Status1" caption="Employment Status" columnCount="2" style="SlicerStyleDark3" rowHeight="365760"/>
  <slicer name="Status 1" xr10:uid="{A4B3C496-6C33-417C-915B-C87E871FAC64}" cache="Slicer_Status1" caption="Status" columnCount="2" style="SlicerStyleDark3" rowHeight="365760"/>
  <slicer name="Gender 1" xr10:uid="{08F2F61B-4630-4C8B-B78E-86FD6C13501D}" cache="Slicer_Gender1" caption="Gender" columnCount="2" style="SlicerStyleDark3"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CAB4BB-411C-418A-9F79-6C84ED3E5D8A}" name="Tbl_Emp" displayName="Tbl_Emp" ref="A1:T167" totalsRowShown="0" headerRowDxfId="21" dataDxfId="20">
  <autoFilter ref="A1:T167" xr:uid="{34CAB4BB-411C-418A-9F79-6C84ED3E5D8A}">
    <filterColumn colId="8">
      <filters>
        <filter val="Active"/>
      </filters>
    </filterColumn>
  </autoFilter>
  <tableColumns count="20">
    <tableColumn id="1" xr3:uid="{A24F766E-B411-4852-9431-62300541E0DD}" name="EmpCode" dataDxfId="19"/>
    <tableColumn id="2" xr3:uid="{E325E06C-F9E5-4D72-A797-83082AD058AD}" name="RO Emp Code" dataDxfId="18"/>
    <tableColumn id="3" xr3:uid="{28576E12-33B3-430A-93DA-67E1AFDCD759}" name="Gender" dataDxfId="17"/>
    <tableColumn id="4" xr3:uid="{FE56CE53-46D4-4881-A0B4-F8DC9AC77CF1}" name="JoiningDate" dataDxfId="16"/>
    <tableColumn id="5" xr3:uid="{DDEDAEF8-805A-4A79-92F0-D7CA75A20E2D}" name="Nationality" dataDxfId="15"/>
    <tableColumn id="6" xr3:uid="{AD3ABE5D-327A-4902-8257-D862DCAF0CD0}" name="BirthDate" dataDxfId="14"/>
    <tableColumn id="7" xr3:uid="{EDCC54DF-13E2-4394-A411-A74C77FAC4B4}" name="Marital Status" dataDxfId="13"/>
    <tableColumn id="8" xr3:uid="{2C21935C-FDDF-447D-B9D7-702E1AF3A7EA}" name="Grade" dataDxfId="12"/>
    <tableColumn id="9" xr3:uid="{07613622-6B3A-4571-9C48-CF9F45AF1854}" name="Status" dataDxfId="11"/>
    <tableColumn id="10" xr3:uid="{CB406157-2AB1-49E3-BB8E-21657012E655}" name="Employment Status" dataDxfId="10"/>
    <tableColumn id="11" xr3:uid="{2025A7AB-E650-4880-BBA9-22B8792ADDCA}" name="LastWorking Date" dataDxfId="9"/>
    <tableColumn id="12" xr3:uid="{7BB7D025-CCAC-41AD-BB6E-77A22622CC6F}" name="Department" dataDxfId="8"/>
    <tableColumn id="13" xr3:uid="{8198F4A4-5F5F-49A9-B2F2-6BDF8702DF51}" name="Employee" dataDxfId="7"/>
    <tableColumn id="14" xr3:uid="{0E336D5D-C4B7-4152-BDFE-90EA9F56E337}" name="Reporting Officer" dataDxfId="6"/>
    <tableColumn id="15" xr3:uid="{B1FB4A7B-EBF7-4A44-9A06-EB052602D1D8}" name="Grade Name" dataDxfId="5"/>
    <tableColumn id="16" xr3:uid="{C5536AE9-9751-4E94-AAE6-80CEAD4F0A81}" name="Level Name" dataDxfId="4"/>
    <tableColumn id="17" xr3:uid="{92ED6659-9C78-4310-B416-865CB3F156BA}" name="Age Group" dataDxfId="3"/>
    <tableColumn id="18" xr3:uid="{BAF02431-BF03-4706-83AB-F186C82ABDDC}" name="Service" dataDxfId="2"/>
    <tableColumn id="19" xr3:uid="{EC48C173-79B1-493F-B09E-ED1A11B8CDE9}" name="Year of Joining" dataDxfId="1">
      <calculatedColumnFormula>YEAR(D2)</calculatedColumnFormula>
    </tableColumn>
    <tableColumn id="20" xr3:uid="{D3F4F3F4-5B0A-400D-A0E6-411946EBC76D}" name="Month of Joining" dataDxfId="0">
      <calculatedColumnFormula>TEXT(D2,"MMM")</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openxmlformats.org/officeDocument/2006/relationships/printerSettings" Target="../printerSettings/printerSettings2.bin"/><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5A0BE-1B67-4B9F-BADA-65215ED83F85}">
  <dimension ref="A3:AI177"/>
  <sheetViews>
    <sheetView showGridLines="0" showRowColHeaders="0" tabSelected="1" topLeftCell="B1" zoomScale="50" zoomScaleNormal="50" workbookViewId="0">
      <selection activeCell="AJ47" sqref="AJ47"/>
    </sheetView>
  </sheetViews>
  <sheetFormatPr defaultRowHeight="14.4" x14ac:dyDescent="0.3"/>
  <cols>
    <col min="1" max="1" width="8.88671875" hidden="1" customWidth="1"/>
    <col min="2" max="2" width="1.33203125" customWidth="1"/>
    <col min="3" max="3" width="0.5546875" customWidth="1"/>
    <col min="4" max="4" width="0.6640625" hidden="1" customWidth="1"/>
    <col min="5" max="5" width="3.33203125" hidden="1" customWidth="1"/>
    <col min="6" max="6" width="18.44140625" customWidth="1"/>
    <col min="7" max="11" width="8.88671875" customWidth="1"/>
    <col min="16" max="16" width="8.88671875" customWidth="1"/>
    <col min="22" max="22" width="8.88671875" customWidth="1"/>
    <col min="27" max="27" width="20.33203125" customWidth="1"/>
    <col min="32" max="32" width="16.77734375" bestFit="1" customWidth="1"/>
    <col min="33" max="33" width="22.77734375" bestFit="1" customWidth="1"/>
    <col min="34" max="34" width="29.6640625" customWidth="1"/>
    <col min="35" max="35" width="14.33203125" bestFit="1" customWidth="1"/>
  </cols>
  <sheetData>
    <row r="3" spans="7:35" ht="15" thickBot="1" x14ac:dyDescent="0.35"/>
    <row r="4" spans="7:35" ht="15" thickTop="1" x14ac:dyDescent="0.3">
      <c r="G4" s="16"/>
      <c r="H4" s="17"/>
      <c r="I4" s="17"/>
      <c r="J4" s="17"/>
      <c r="K4" s="17"/>
      <c r="L4" s="17"/>
      <c r="M4" s="17"/>
      <c r="N4" s="17"/>
      <c r="O4" s="17"/>
      <c r="P4" s="17"/>
      <c r="Q4" s="17"/>
      <c r="R4" s="17"/>
      <c r="S4" s="17"/>
      <c r="T4" s="17"/>
      <c r="U4" s="17"/>
      <c r="V4" s="20"/>
      <c r="W4" s="17"/>
      <c r="X4" s="20"/>
      <c r="Y4" s="17"/>
      <c r="Z4" s="20"/>
      <c r="AA4" s="21"/>
      <c r="AB4" s="17"/>
      <c r="AC4" s="17"/>
      <c r="AD4" s="17"/>
      <c r="AE4" s="20"/>
    </row>
    <row r="5" spans="7:35" x14ac:dyDescent="0.3">
      <c r="G5" s="10"/>
      <c r="H5" s="9"/>
      <c r="I5" s="9"/>
      <c r="J5" s="9"/>
      <c r="K5" s="9"/>
      <c r="L5" s="9"/>
      <c r="M5" s="9"/>
      <c r="N5" s="9"/>
      <c r="O5" s="9"/>
      <c r="P5" s="9"/>
      <c r="Q5" s="9"/>
      <c r="R5" s="9"/>
      <c r="S5" s="9"/>
      <c r="T5" s="9"/>
      <c r="U5" s="9"/>
      <c r="V5" s="11"/>
      <c r="W5" s="9"/>
      <c r="X5" s="11"/>
      <c r="Y5" s="9"/>
      <c r="Z5" s="11"/>
      <c r="AA5" s="22"/>
      <c r="AB5" s="9"/>
      <c r="AC5" s="9"/>
      <c r="AD5" s="9"/>
      <c r="AE5" s="11"/>
    </row>
    <row r="6" spans="7:35" ht="15" thickBot="1" x14ac:dyDescent="0.35">
      <c r="G6" s="12"/>
      <c r="H6" s="13"/>
      <c r="I6" s="13"/>
      <c r="J6" s="13"/>
      <c r="K6" s="13"/>
      <c r="L6" s="13"/>
      <c r="M6" s="13"/>
      <c r="N6" s="13"/>
      <c r="O6" s="13"/>
      <c r="P6" s="13"/>
      <c r="Q6" s="13"/>
      <c r="R6" s="13"/>
      <c r="S6" s="13"/>
      <c r="T6" s="13"/>
      <c r="U6" s="13"/>
      <c r="V6" s="14"/>
      <c r="W6" s="13"/>
      <c r="X6" s="14"/>
      <c r="Y6" s="13"/>
      <c r="Z6" s="14"/>
      <c r="AA6" s="23"/>
      <c r="AB6" s="13"/>
      <c r="AC6" s="13"/>
      <c r="AD6" s="13"/>
      <c r="AE6" s="14"/>
    </row>
    <row r="7" spans="7:35" ht="15" thickTop="1" x14ac:dyDescent="0.3">
      <c r="G7" s="24"/>
      <c r="H7" s="25"/>
      <c r="I7" s="25"/>
      <c r="J7" s="25"/>
      <c r="K7" s="25"/>
      <c r="L7" s="25"/>
      <c r="M7" s="25"/>
      <c r="N7" s="25"/>
      <c r="O7" s="25"/>
      <c r="P7" s="25"/>
      <c r="Q7" s="25"/>
      <c r="R7" s="25"/>
      <c r="S7" s="25"/>
      <c r="T7" s="25"/>
      <c r="U7" s="25"/>
      <c r="V7" s="25"/>
      <c r="W7" s="25"/>
      <c r="X7" s="25"/>
      <c r="Y7" s="25"/>
      <c r="Z7" s="25"/>
      <c r="AA7" s="25"/>
      <c r="AB7" s="25"/>
      <c r="AC7" s="25"/>
      <c r="AD7" s="25"/>
      <c r="AE7" s="26"/>
    </row>
    <row r="8" spans="7:35" x14ac:dyDescent="0.3">
      <c r="G8" s="24"/>
      <c r="H8" s="25"/>
      <c r="I8" s="25"/>
      <c r="J8" s="25"/>
      <c r="K8" s="25"/>
      <c r="L8" s="25"/>
      <c r="M8" s="25"/>
      <c r="N8" s="25"/>
      <c r="O8" s="25"/>
      <c r="P8" s="25"/>
      <c r="Q8" s="25"/>
      <c r="R8" s="25"/>
      <c r="S8" s="25"/>
      <c r="T8" s="25"/>
      <c r="U8" s="25"/>
      <c r="V8" s="25"/>
      <c r="W8" s="25"/>
      <c r="X8" s="25"/>
      <c r="Y8" s="25"/>
      <c r="Z8" s="25"/>
      <c r="AA8" s="25"/>
      <c r="AB8" s="25"/>
      <c r="AC8" s="25"/>
      <c r="AD8" s="25"/>
      <c r="AE8" s="26"/>
    </row>
    <row r="9" spans="7:35" x14ac:dyDescent="0.3">
      <c r="G9" s="24"/>
      <c r="H9" s="25"/>
      <c r="I9" s="25"/>
      <c r="J9" s="25"/>
      <c r="K9" s="25"/>
      <c r="L9" s="25"/>
      <c r="M9" s="25"/>
      <c r="N9" s="25"/>
      <c r="O9" s="25"/>
      <c r="P9" s="25"/>
      <c r="Q9" s="25"/>
      <c r="R9" s="25"/>
      <c r="S9" s="25"/>
      <c r="T9" s="25"/>
      <c r="U9" s="25"/>
      <c r="V9" s="25"/>
      <c r="W9" s="25"/>
      <c r="X9" s="25"/>
      <c r="Y9" s="25"/>
      <c r="Z9" s="25"/>
      <c r="AA9" s="25"/>
      <c r="AB9" s="25"/>
      <c r="AC9" s="25"/>
      <c r="AD9" s="25"/>
      <c r="AE9" s="26"/>
    </row>
    <row r="10" spans="7:35" x14ac:dyDescent="0.3">
      <c r="G10" s="24"/>
      <c r="H10" s="25"/>
      <c r="I10" s="25"/>
      <c r="J10" s="25"/>
      <c r="K10" s="25"/>
      <c r="L10" s="25"/>
      <c r="M10" s="25"/>
      <c r="N10" s="25"/>
      <c r="O10" s="25"/>
      <c r="P10" s="25"/>
      <c r="Q10" s="25"/>
      <c r="R10" s="25"/>
      <c r="S10" s="25"/>
      <c r="T10" s="25"/>
      <c r="U10" s="25"/>
      <c r="V10" s="25"/>
      <c r="W10" s="25"/>
      <c r="X10" s="25"/>
      <c r="Y10" s="25"/>
      <c r="Z10" s="25"/>
      <c r="AA10" s="25"/>
      <c r="AB10" s="25"/>
      <c r="AC10" s="25"/>
      <c r="AD10" s="25"/>
      <c r="AE10" s="26"/>
    </row>
    <row r="11" spans="7:35" ht="18.600000000000001" thickBot="1" x14ac:dyDescent="0.4">
      <c r="G11" s="27"/>
      <c r="H11" s="28"/>
      <c r="I11" s="28"/>
      <c r="J11" s="28"/>
      <c r="K11" s="28"/>
      <c r="L11" s="28"/>
      <c r="M11" s="28"/>
      <c r="N11" s="28"/>
      <c r="O11" s="28"/>
      <c r="P11" s="28"/>
      <c r="Q11" s="28"/>
      <c r="R11" s="28"/>
      <c r="S11" s="28"/>
      <c r="T11" s="28"/>
      <c r="U11" s="28"/>
      <c r="V11" s="28"/>
      <c r="W11" s="28"/>
      <c r="X11" s="28"/>
      <c r="Y11" s="28"/>
      <c r="Z11" s="28"/>
      <c r="AA11" s="28"/>
      <c r="AB11" s="28"/>
      <c r="AC11" s="28"/>
      <c r="AD11" s="28"/>
      <c r="AE11" s="29"/>
      <c r="AF11" s="30" t="s">
        <v>11</v>
      </c>
      <c r="AG11" s="30" t="s">
        <v>13</v>
      </c>
      <c r="AH11" s="30" t="s">
        <v>12</v>
      </c>
      <c r="AI11" s="30" t="s">
        <v>17</v>
      </c>
    </row>
    <row r="12" spans="7:35" ht="19.2" thickTop="1" thickBot="1" x14ac:dyDescent="0.4">
      <c r="G12" s="10"/>
      <c r="H12" s="9"/>
      <c r="I12" s="9"/>
      <c r="J12" s="9"/>
      <c r="K12" s="9"/>
      <c r="L12" s="9"/>
      <c r="M12" s="9"/>
      <c r="N12" s="11"/>
      <c r="O12" s="10"/>
      <c r="P12" s="9"/>
      <c r="Q12" s="17"/>
      <c r="R12" s="17"/>
      <c r="S12" s="17"/>
      <c r="T12" s="9"/>
      <c r="U12" s="9"/>
      <c r="V12" s="11"/>
      <c r="W12" s="9"/>
      <c r="X12" s="9"/>
      <c r="Y12" s="9"/>
      <c r="Z12" s="11"/>
      <c r="AA12" s="16"/>
      <c r="AB12" s="17"/>
      <c r="AC12" s="17"/>
      <c r="AD12" s="17"/>
      <c r="AE12" s="17"/>
      <c r="AF12" s="31" t="s">
        <v>29</v>
      </c>
      <c r="AG12" s="31" t="s">
        <v>39</v>
      </c>
      <c r="AH12" s="34" t="s">
        <v>387</v>
      </c>
      <c r="AI12" s="34" t="s">
        <v>42</v>
      </c>
    </row>
    <row r="13" spans="7:35" ht="18" x14ac:dyDescent="0.35">
      <c r="G13" s="10"/>
      <c r="H13" s="9"/>
      <c r="I13" s="9"/>
      <c r="J13" s="9"/>
      <c r="K13" s="9"/>
      <c r="L13" s="9"/>
      <c r="M13" s="9"/>
      <c r="N13" s="11"/>
      <c r="O13" s="10"/>
      <c r="P13" s="9"/>
      <c r="Q13" s="9"/>
      <c r="R13" s="9"/>
      <c r="S13" s="9"/>
      <c r="T13" s="9"/>
      <c r="U13" s="9"/>
      <c r="V13" s="11"/>
      <c r="W13" s="9"/>
      <c r="X13" s="9"/>
      <c r="Y13" s="9"/>
      <c r="Z13" s="11"/>
      <c r="AA13" s="10"/>
      <c r="AB13" s="9"/>
      <c r="AC13" s="9"/>
      <c r="AD13" s="9"/>
      <c r="AE13" s="9"/>
      <c r="AF13" s="32" t="s">
        <v>54</v>
      </c>
      <c r="AG13" s="37" t="s">
        <v>56</v>
      </c>
      <c r="AH13" s="34" t="s">
        <v>406</v>
      </c>
      <c r="AI13" s="34" t="s">
        <v>42</v>
      </c>
    </row>
    <row r="14" spans="7:35" ht="18" x14ac:dyDescent="0.35">
      <c r="G14" s="10"/>
      <c r="H14" s="9"/>
      <c r="I14" s="9"/>
      <c r="J14" s="9"/>
      <c r="K14" s="9"/>
      <c r="L14" s="9"/>
      <c r="M14" s="9"/>
      <c r="N14" s="11"/>
      <c r="O14" s="10"/>
      <c r="P14" s="9"/>
      <c r="Q14" s="9"/>
      <c r="R14" s="9"/>
      <c r="S14" s="9"/>
      <c r="T14" s="9"/>
      <c r="U14" s="9"/>
      <c r="V14" s="11"/>
      <c r="W14" s="9"/>
      <c r="X14" s="9"/>
      <c r="Y14" s="9"/>
      <c r="Z14" s="11"/>
      <c r="AA14" s="10"/>
      <c r="AB14" s="9"/>
      <c r="AC14" s="9"/>
      <c r="AD14" s="9"/>
      <c r="AE14" s="9"/>
      <c r="AF14" s="32"/>
      <c r="AG14" s="37"/>
      <c r="AH14" s="34" t="s">
        <v>402</v>
      </c>
      <c r="AI14" s="34" t="s">
        <v>42</v>
      </c>
    </row>
    <row r="15" spans="7:35" ht="18" x14ac:dyDescent="0.35">
      <c r="G15" s="10"/>
      <c r="H15" s="9"/>
      <c r="I15" s="9"/>
      <c r="J15" s="9"/>
      <c r="K15" s="9"/>
      <c r="L15" s="9"/>
      <c r="M15" s="9"/>
      <c r="N15" s="11"/>
      <c r="O15" s="10"/>
      <c r="P15" s="9"/>
      <c r="Q15" s="9"/>
      <c r="R15" s="9"/>
      <c r="S15" s="9"/>
      <c r="T15" s="9"/>
      <c r="U15" s="9"/>
      <c r="V15" s="11"/>
      <c r="W15" s="9"/>
      <c r="X15" s="9"/>
      <c r="Y15" s="9"/>
      <c r="Z15" s="11"/>
      <c r="AA15" s="10"/>
      <c r="AB15" s="9"/>
      <c r="AC15" s="9"/>
      <c r="AD15" s="9"/>
      <c r="AE15" s="9"/>
      <c r="AF15" s="32"/>
      <c r="AG15" s="37"/>
      <c r="AH15" s="34" t="s">
        <v>404</v>
      </c>
      <c r="AI15" s="34" t="s">
        <v>83</v>
      </c>
    </row>
    <row r="16" spans="7:35" ht="18" x14ac:dyDescent="0.35">
      <c r="G16" s="10"/>
      <c r="H16" s="9"/>
      <c r="I16" s="9"/>
      <c r="J16" s="9"/>
      <c r="K16" s="9"/>
      <c r="L16" s="9"/>
      <c r="M16" s="9"/>
      <c r="N16" s="11"/>
      <c r="O16" s="10"/>
      <c r="P16" s="9"/>
      <c r="Q16" s="9"/>
      <c r="R16" s="9"/>
      <c r="S16" s="9"/>
      <c r="T16" s="9"/>
      <c r="U16" s="9"/>
      <c r="V16" s="11"/>
      <c r="W16" s="9"/>
      <c r="X16" s="9"/>
      <c r="Y16" s="9"/>
      <c r="Z16" s="11"/>
      <c r="AA16" s="10"/>
      <c r="AB16" s="9"/>
      <c r="AC16" s="9"/>
      <c r="AD16" s="9"/>
      <c r="AE16" s="9"/>
      <c r="AF16" s="32"/>
      <c r="AG16" s="37"/>
      <c r="AH16" s="34" t="s">
        <v>356</v>
      </c>
      <c r="AI16" s="34" t="s">
        <v>42</v>
      </c>
    </row>
    <row r="17" spans="7:35" ht="18.600000000000001" thickBot="1" x14ac:dyDescent="0.4">
      <c r="G17" s="10"/>
      <c r="H17" s="9"/>
      <c r="I17" s="9"/>
      <c r="J17" s="9"/>
      <c r="K17" s="9"/>
      <c r="L17" s="9"/>
      <c r="M17" s="9"/>
      <c r="N17" s="11"/>
      <c r="O17" s="10"/>
      <c r="P17" s="9"/>
      <c r="Q17" s="9"/>
      <c r="R17" s="9"/>
      <c r="S17" s="9"/>
      <c r="T17" s="9"/>
      <c r="U17" s="9"/>
      <c r="V17" s="11"/>
      <c r="W17" s="9"/>
      <c r="X17" s="9"/>
      <c r="Y17" s="9"/>
      <c r="Z17" s="11"/>
      <c r="AA17" s="12"/>
      <c r="AB17" s="13"/>
      <c r="AC17" s="13"/>
      <c r="AD17" s="13"/>
      <c r="AE17" s="13"/>
      <c r="AF17" s="32"/>
      <c r="AG17" s="37"/>
      <c r="AH17" s="34" t="s">
        <v>408</v>
      </c>
      <c r="AI17" s="34" t="s">
        <v>42</v>
      </c>
    </row>
    <row r="18" spans="7:35" ht="19.2" thickTop="1" thickBot="1" x14ac:dyDescent="0.4">
      <c r="G18" s="10"/>
      <c r="H18" s="9"/>
      <c r="I18" s="9"/>
      <c r="J18" s="9"/>
      <c r="K18" s="9"/>
      <c r="L18" s="9"/>
      <c r="M18" s="9"/>
      <c r="N18" s="11"/>
      <c r="O18" s="10"/>
      <c r="P18" s="9"/>
      <c r="Q18" s="9"/>
      <c r="R18" s="9"/>
      <c r="S18" s="9"/>
      <c r="T18" s="9"/>
      <c r="U18" s="9"/>
      <c r="V18" s="11"/>
      <c r="W18" s="9"/>
      <c r="X18" s="9"/>
      <c r="Y18" s="9"/>
      <c r="Z18" s="11"/>
      <c r="AA18" s="10"/>
      <c r="AB18" s="9"/>
      <c r="AC18" s="9"/>
      <c r="AD18" s="9"/>
      <c r="AE18" s="9"/>
      <c r="AF18" s="32"/>
      <c r="AG18" s="38" t="s">
        <v>82</v>
      </c>
      <c r="AH18" s="34" t="s">
        <v>418</v>
      </c>
      <c r="AI18" s="34" t="s">
        <v>42</v>
      </c>
    </row>
    <row r="19" spans="7:35" ht="18.600000000000001" thickBot="1" x14ac:dyDescent="0.4">
      <c r="G19" s="10"/>
      <c r="H19" s="9"/>
      <c r="I19" s="9"/>
      <c r="J19" s="9"/>
      <c r="K19" s="9"/>
      <c r="L19" s="9"/>
      <c r="M19" s="9"/>
      <c r="N19" s="11"/>
      <c r="O19" s="10"/>
      <c r="P19" s="9"/>
      <c r="Q19" s="9"/>
      <c r="R19" s="9"/>
      <c r="S19" s="9"/>
      <c r="T19" s="9"/>
      <c r="U19" s="9"/>
      <c r="V19" s="11"/>
      <c r="W19" s="9"/>
      <c r="X19" s="9"/>
      <c r="Y19" s="9"/>
      <c r="Z19" s="11"/>
      <c r="AA19" s="10"/>
      <c r="AB19" s="9"/>
      <c r="AC19" s="9"/>
      <c r="AD19" s="9"/>
      <c r="AE19" s="9"/>
      <c r="AF19" s="33"/>
      <c r="AG19" s="35" t="s">
        <v>30</v>
      </c>
      <c r="AH19" s="34" t="s">
        <v>396</v>
      </c>
      <c r="AI19" s="34" t="s">
        <v>169</v>
      </c>
    </row>
    <row r="20" spans="7:35" ht="18" x14ac:dyDescent="0.35">
      <c r="G20" s="10"/>
      <c r="H20" s="9"/>
      <c r="I20" s="9"/>
      <c r="J20" s="9"/>
      <c r="K20" s="9"/>
      <c r="L20" s="9"/>
      <c r="M20" s="9"/>
      <c r="N20" s="11"/>
      <c r="O20" s="10"/>
      <c r="P20" s="9"/>
      <c r="Q20" s="9"/>
      <c r="R20" s="9"/>
      <c r="S20" s="9"/>
      <c r="T20" s="9"/>
      <c r="U20" s="9"/>
      <c r="V20" s="11"/>
      <c r="W20" s="9"/>
      <c r="X20" s="9"/>
      <c r="Y20" s="9"/>
      <c r="Z20" s="11"/>
      <c r="AA20" s="10"/>
      <c r="AB20" s="9"/>
      <c r="AC20" s="9"/>
      <c r="AD20" s="9"/>
      <c r="AE20" s="9"/>
      <c r="AF20" s="32" t="s">
        <v>38</v>
      </c>
      <c r="AG20" s="35" t="s">
        <v>161</v>
      </c>
      <c r="AH20" s="34" t="s">
        <v>385</v>
      </c>
      <c r="AI20" s="34" t="s">
        <v>42</v>
      </c>
    </row>
    <row r="21" spans="7:35" ht="18.600000000000001" thickBot="1" x14ac:dyDescent="0.4">
      <c r="G21" s="12"/>
      <c r="H21" s="13"/>
      <c r="I21" s="13"/>
      <c r="J21" s="13"/>
      <c r="K21" s="13"/>
      <c r="L21" s="13"/>
      <c r="M21" s="13"/>
      <c r="N21" s="14"/>
      <c r="O21" s="12"/>
      <c r="P21" s="13"/>
      <c r="Q21" s="13"/>
      <c r="R21" s="13"/>
      <c r="S21" s="13"/>
      <c r="T21" s="13"/>
      <c r="U21" s="13"/>
      <c r="V21" s="14"/>
      <c r="W21" s="13"/>
      <c r="X21" s="13"/>
      <c r="Y21" s="13"/>
      <c r="Z21" s="14"/>
      <c r="AA21" s="10"/>
      <c r="AB21" s="9"/>
      <c r="AC21" s="9"/>
      <c r="AD21" s="9"/>
      <c r="AE21" s="9"/>
      <c r="AF21" s="32"/>
      <c r="AG21" s="37"/>
      <c r="AH21" s="34" t="s">
        <v>416</v>
      </c>
      <c r="AI21" s="34" t="s">
        <v>83</v>
      </c>
    </row>
    <row r="22" spans="7:35" ht="18.600000000000001" thickTop="1" x14ac:dyDescent="0.35">
      <c r="G22" s="16"/>
      <c r="H22" s="17"/>
      <c r="I22" s="17"/>
      <c r="J22" s="17"/>
      <c r="K22" s="17"/>
      <c r="L22" s="20"/>
      <c r="M22" s="17"/>
      <c r="N22" s="17"/>
      <c r="O22" s="17"/>
      <c r="P22" s="17"/>
      <c r="Q22" s="17"/>
      <c r="R22" s="17"/>
      <c r="S22" s="17"/>
      <c r="T22" s="17"/>
      <c r="U22" s="16"/>
      <c r="V22" s="17"/>
      <c r="W22" s="17"/>
      <c r="X22" s="17"/>
      <c r="Y22" s="17"/>
      <c r="Z22" s="20"/>
      <c r="AA22" s="10"/>
      <c r="AB22" s="9"/>
      <c r="AC22" s="9"/>
      <c r="AD22" s="9"/>
      <c r="AE22" s="9"/>
      <c r="AF22" s="32"/>
      <c r="AG22" s="37"/>
      <c r="AH22" s="34" t="s">
        <v>413</v>
      </c>
      <c r="AI22" s="34" t="s">
        <v>83</v>
      </c>
    </row>
    <row r="23" spans="7:35" ht="18.600000000000001" thickBot="1" x14ac:dyDescent="0.4">
      <c r="G23" s="10"/>
      <c r="H23" s="9"/>
      <c r="I23" s="9"/>
      <c r="J23" s="9"/>
      <c r="K23" s="9"/>
      <c r="L23" s="11"/>
      <c r="M23" s="9"/>
      <c r="N23" s="9"/>
      <c r="O23" s="9"/>
      <c r="P23" s="9"/>
      <c r="Q23" s="9"/>
      <c r="R23" s="9"/>
      <c r="S23" s="9"/>
      <c r="T23" s="9"/>
      <c r="U23" s="10"/>
      <c r="V23" s="9"/>
      <c r="W23" s="9"/>
      <c r="X23" s="9"/>
      <c r="Y23" s="9"/>
      <c r="Z23" s="11"/>
      <c r="AA23" s="10"/>
      <c r="AB23" s="9"/>
      <c r="AC23" s="9"/>
      <c r="AD23" s="9"/>
      <c r="AE23" s="9"/>
      <c r="AF23" s="32"/>
      <c r="AG23" s="37"/>
      <c r="AH23" s="34" t="s">
        <v>411</v>
      </c>
      <c r="AI23" s="34" t="s">
        <v>34</v>
      </c>
    </row>
    <row r="24" spans="7:35" ht="18.600000000000001" thickBot="1" x14ac:dyDescent="0.4">
      <c r="G24" s="10"/>
      <c r="H24" s="9"/>
      <c r="I24" s="9"/>
      <c r="J24" s="9"/>
      <c r="K24" s="9"/>
      <c r="L24" s="11"/>
      <c r="M24" s="9"/>
      <c r="N24" s="9"/>
      <c r="O24" s="9"/>
      <c r="P24" s="9"/>
      <c r="Q24" s="9"/>
      <c r="R24" s="9"/>
      <c r="S24" s="9"/>
      <c r="T24" s="9"/>
      <c r="U24" s="10"/>
      <c r="V24" s="9"/>
      <c r="W24" s="9"/>
      <c r="X24" s="9"/>
      <c r="Y24" s="9"/>
      <c r="Z24" s="11"/>
      <c r="AA24" s="10"/>
      <c r="AB24" s="9"/>
      <c r="AC24" s="9"/>
      <c r="AD24" s="9"/>
      <c r="AE24" s="9"/>
      <c r="AF24" s="32"/>
      <c r="AG24" s="38" t="s">
        <v>47</v>
      </c>
      <c r="AH24" s="34" t="s">
        <v>400</v>
      </c>
      <c r="AI24" s="34" t="s">
        <v>34</v>
      </c>
    </row>
    <row r="25" spans="7:35" ht="18" x14ac:dyDescent="0.35">
      <c r="G25" s="10"/>
      <c r="H25" s="9"/>
      <c r="I25" s="9"/>
      <c r="J25" s="9"/>
      <c r="K25" s="9"/>
      <c r="L25" s="11"/>
      <c r="M25" s="9"/>
      <c r="N25" s="9"/>
      <c r="O25" s="9"/>
      <c r="P25" s="9"/>
      <c r="Q25" s="9"/>
      <c r="R25" s="9"/>
      <c r="S25" s="9"/>
      <c r="T25" s="9"/>
      <c r="U25" s="10"/>
      <c r="V25" s="9"/>
      <c r="W25" s="9"/>
      <c r="X25" s="9"/>
      <c r="Y25" s="9"/>
      <c r="Z25" s="11"/>
      <c r="AA25" s="10"/>
      <c r="AB25" s="9"/>
      <c r="AC25" s="9"/>
      <c r="AD25" s="9"/>
      <c r="AE25" s="9"/>
      <c r="AF25" s="32"/>
      <c r="AG25" s="35" t="s">
        <v>30</v>
      </c>
      <c r="AH25" s="34" t="s">
        <v>203</v>
      </c>
      <c r="AI25" s="34" t="s">
        <v>42</v>
      </c>
    </row>
    <row r="26" spans="7:35" ht="18.600000000000001" thickBot="1" x14ac:dyDescent="0.4">
      <c r="G26" s="10"/>
      <c r="H26" s="9"/>
      <c r="I26" s="9"/>
      <c r="J26" s="9"/>
      <c r="K26" s="9"/>
      <c r="L26" s="11"/>
      <c r="M26" s="9"/>
      <c r="N26" s="9"/>
      <c r="O26" s="9"/>
      <c r="P26" s="9"/>
      <c r="Q26" s="9"/>
      <c r="R26" s="9"/>
      <c r="S26" s="9"/>
      <c r="T26" s="9"/>
      <c r="U26" s="10"/>
      <c r="V26" s="9"/>
      <c r="W26" s="9"/>
      <c r="X26" s="9"/>
      <c r="Y26" s="9"/>
      <c r="Z26" s="11"/>
      <c r="AA26" s="10"/>
      <c r="AB26" s="9"/>
      <c r="AC26" s="9"/>
      <c r="AD26" s="9"/>
      <c r="AE26" s="9"/>
      <c r="AF26" s="33"/>
      <c r="AG26" s="36"/>
      <c r="AH26" s="34" t="s">
        <v>421</v>
      </c>
      <c r="AI26" s="34" t="s">
        <v>42</v>
      </c>
    </row>
    <row r="27" spans="7:35" x14ac:dyDescent="0.3">
      <c r="G27" s="10"/>
      <c r="H27" s="9"/>
      <c r="I27" s="9"/>
      <c r="J27" s="9"/>
      <c r="K27" s="9"/>
      <c r="L27" s="11"/>
      <c r="M27" s="9"/>
      <c r="N27" s="9"/>
      <c r="O27" s="9"/>
      <c r="P27" s="9"/>
      <c r="Q27" s="9"/>
      <c r="R27" s="9"/>
      <c r="S27" s="9"/>
      <c r="T27" s="9"/>
      <c r="U27" s="10"/>
      <c r="V27" s="9"/>
      <c r="W27" s="9"/>
      <c r="X27" s="9"/>
      <c r="Y27" s="9"/>
      <c r="Z27" s="11"/>
      <c r="AA27" s="10"/>
      <c r="AB27" s="9"/>
      <c r="AC27" s="9"/>
      <c r="AD27" s="9"/>
      <c r="AE27" s="9"/>
    </row>
    <row r="28" spans="7:35" ht="18.600000000000001" thickBot="1" x14ac:dyDescent="0.4">
      <c r="G28" s="10"/>
      <c r="H28" s="9"/>
      <c r="I28" s="9"/>
      <c r="J28" s="9"/>
      <c r="K28" s="9"/>
      <c r="L28" s="11"/>
      <c r="M28" s="9"/>
      <c r="N28" s="9"/>
      <c r="O28" s="9"/>
      <c r="P28" s="9"/>
      <c r="Q28" s="9"/>
      <c r="R28" s="9"/>
      <c r="S28" s="9"/>
      <c r="T28" s="9"/>
      <c r="U28" s="10"/>
      <c r="V28" s="9"/>
      <c r="W28" s="9"/>
      <c r="X28" s="9"/>
      <c r="Y28" s="9"/>
      <c r="Z28" s="11"/>
      <c r="AA28" s="10"/>
      <c r="AB28" s="9"/>
      <c r="AC28" s="9"/>
      <c r="AD28" s="9"/>
      <c r="AE28" s="9"/>
    </row>
    <row r="29" spans="7:35" ht="18" x14ac:dyDescent="0.35">
      <c r="G29" s="10"/>
      <c r="H29" s="9"/>
      <c r="I29" s="9"/>
      <c r="J29" s="9"/>
      <c r="K29" s="9"/>
      <c r="L29" s="11"/>
      <c r="M29" s="9"/>
      <c r="N29" s="9"/>
      <c r="O29" s="9"/>
      <c r="P29" s="9"/>
      <c r="Q29" s="9"/>
      <c r="R29" s="9"/>
      <c r="S29" s="9"/>
      <c r="T29" s="9"/>
      <c r="U29" s="10"/>
      <c r="V29" s="9"/>
      <c r="W29" s="9"/>
      <c r="X29" s="9"/>
      <c r="Y29" s="9"/>
      <c r="Z29" s="11"/>
      <c r="AA29" s="10"/>
      <c r="AB29" s="9"/>
      <c r="AC29" s="9"/>
      <c r="AD29" s="9"/>
      <c r="AE29" s="9"/>
    </row>
    <row r="30" spans="7:35" ht="18" x14ac:dyDescent="0.35">
      <c r="G30" s="10"/>
      <c r="H30" s="9"/>
      <c r="I30" s="9"/>
      <c r="J30" s="9"/>
      <c r="K30" s="9"/>
      <c r="L30" s="11"/>
      <c r="M30" s="9"/>
      <c r="N30" s="9"/>
      <c r="O30" s="9"/>
      <c r="P30" s="9"/>
      <c r="Q30" s="9"/>
      <c r="R30" s="9"/>
      <c r="S30" s="9"/>
      <c r="T30" s="9"/>
      <c r="U30" s="10"/>
      <c r="V30" s="9"/>
      <c r="W30" s="9"/>
      <c r="X30" s="9"/>
      <c r="Y30" s="9"/>
      <c r="Z30" s="11"/>
      <c r="AA30" s="10"/>
      <c r="AB30" s="9"/>
      <c r="AC30" s="9"/>
      <c r="AD30" s="9"/>
      <c r="AE30" s="9"/>
    </row>
    <row r="31" spans="7:35" ht="18" x14ac:dyDescent="0.35">
      <c r="G31" s="10"/>
      <c r="H31" s="9"/>
      <c r="I31" s="9"/>
      <c r="J31" s="9"/>
      <c r="K31" s="9"/>
      <c r="L31" s="11"/>
      <c r="M31" s="9"/>
      <c r="N31" s="9"/>
      <c r="O31" s="9"/>
      <c r="P31" s="9"/>
      <c r="Q31" s="9"/>
      <c r="R31" s="9"/>
      <c r="S31" s="9"/>
      <c r="T31" s="9"/>
      <c r="U31" s="10"/>
      <c r="V31" s="9"/>
      <c r="W31" s="9"/>
      <c r="X31" s="9"/>
      <c r="Y31" s="9"/>
      <c r="Z31" s="11"/>
      <c r="AA31" s="10"/>
      <c r="AB31" s="9"/>
      <c r="AC31" s="9"/>
      <c r="AD31" s="9"/>
      <c r="AE31" s="9"/>
    </row>
    <row r="32" spans="7:35" ht="18" x14ac:dyDescent="0.35">
      <c r="G32" s="10"/>
      <c r="H32" s="9"/>
      <c r="I32" s="9"/>
      <c r="J32" s="9"/>
      <c r="K32" s="9"/>
      <c r="L32" s="11"/>
      <c r="M32" s="9"/>
      <c r="N32" s="9"/>
      <c r="O32" s="9"/>
      <c r="P32" s="9"/>
      <c r="Q32" s="9"/>
      <c r="R32" s="9"/>
      <c r="S32" s="9"/>
      <c r="T32" s="9"/>
      <c r="U32" s="10"/>
      <c r="V32" s="9"/>
      <c r="W32" s="9"/>
      <c r="X32" s="9"/>
      <c r="Y32" s="9"/>
      <c r="Z32" s="11"/>
      <c r="AA32" s="10"/>
      <c r="AB32" s="9"/>
      <c r="AC32" s="9"/>
      <c r="AD32" s="9"/>
      <c r="AE32" s="9"/>
    </row>
    <row r="33" spans="7:31" ht="18" x14ac:dyDescent="0.35">
      <c r="G33" s="10"/>
      <c r="H33" s="9"/>
      <c r="I33" s="9"/>
      <c r="J33" s="9"/>
      <c r="K33" s="9"/>
      <c r="L33" s="11"/>
      <c r="M33" s="9"/>
      <c r="N33" s="9"/>
      <c r="O33" s="9"/>
      <c r="P33" s="9"/>
      <c r="Q33" s="9"/>
      <c r="R33" s="9"/>
      <c r="S33" s="9"/>
      <c r="T33" s="9"/>
      <c r="U33" s="10"/>
      <c r="V33" s="9"/>
      <c r="W33" s="9"/>
      <c r="X33" s="9"/>
      <c r="Y33" s="9"/>
      <c r="Z33" s="11"/>
      <c r="AA33" s="10"/>
      <c r="AB33" s="9"/>
      <c r="AC33" s="9"/>
      <c r="AD33" s="9"/>
      <c r="AE33" s="9"/>
    </row>
    <row r="34" spans="7:31" ht="18" x14ac:dyDescent="0.35">
      <c r="G34" s="10"/>
      <c r="H34" s="9"/>
      <c r="I34" s="9"/>
      <c r="J34" s="9"/>
      <c r="K34" s="9"/>
      <c r="L34" s="11"/>
      <c r="M34" s="9"/>
      <c r="N34" s="9"/>
      <c r="O34" s="9"/>
      <c r="P34" s="9"/>
      <c r="Q34" s="9"/>
      <c r="R34" s="9"/>
      <c r="S34" s="9"/>
      <c r="T34" s="9"/>
      <c r="U34" s="10"/>
      <c r="V34" s="9"/>
      <c r="W34" s="9"/>
      <c r="X34" s="9"/>
      <c r="Y34" s="9"/>
      <c r="Z34" s="11"/>
      <c r="AA34" s="10"/>
      <c r="AB34" s="9"/>
      <c r="AC34" s="9"/>
      <c r="AD34" s="9"/>
      <c r="AE34" s="9"/>
    </row>
    <row r="35" spans="7:31" ht="18" x14ac:dyDescent="0.35">
      <c r="G35" s="10"/>
      <c r="H35" s="9"/>
      <c r="I35" s="9"/>
      <c r="J35" s="9"/>
      <c r="K35" s="9"/>
      <c r="L35" s="11"/>
      <c r="M35" s="9"/>
      <c r="N35" s="9"/>
      <c r="O35" s="9"/>
      <c r="P35" s="9"/>
      <c r="Q35" s="9"/>
      <c r="R35" s="9"/>
      <c r="S35" s="9"/>
      <c r="T35" s="9"/>
      <c r="U35" s="10"/>
      <c r="V35" s="9"/>
      <c r="W35" s="9"/>
      <c r="X35" s="9"/>
      <c r="Y35" s="9"/>
      <c r="Z35" s="11"/>
      <c r="AA35" s="10"/>
      <c r="AB35" s="9"/>
      <c r="AC35" s="9"/>
      <c r="AD35" s="9"/>
      <c r="AE35" s="9"/>
    </row>
    <row r="36" spans="7:31" ht="18" x14ac:dyDescent="0.35">
      <c r="G36" s="10"/>
      <c r="H36" s="9"/>
      <c r="I36" s="9"/>
      <c r="J36" s="9"/>
      <c r="K36" s="9"/>
      <c r="L36" s="11"/>
      <c r="M36" s="9"/>
      <c r="N36" s="9"/>
      <c r="O36" s="9"/>
      <c r="P36" s="9"/>
      <c r="Q36" s="9"/>
      <c r="R36" s="9"/>
      <c r="S36" s="9"/>
      <c r="T36" s="9"/>
      <c r="U36" s="10"/>
      <c r="V36" s="9"/>
      <c r="W36" s="9"/>
      <c r="X36" s="9"/>
      <c r="Y36" s="9"/>
      <c r="Z36" s="11"/>
      <c r="AA36" s="10"/>
      <c r="AB36" s="9"/>
      <c r="AC36" s="9"/>
      <c r="AD36" s="9"/>
      <c r="AE36" s="9"/>
    </row>
    <row r="37" spans="7:31" ht="18" x14ac:dyDescent="0.35">
      <c r="G37" s="10"/>
      <c r="H37" s="9"/>
      <c r="I37" s="9"/>
      <c r="J37" s="9"/>
      <c r="K37" s="9"/>
      <c r="L37" s="11"/>
      <c r="M37" s="9"/>
      <c r="N37" s="9"/>
      <c r="O37" s="9"/>
      <c r="P37" s="9"/>
      <c r="Q37" s="9"/>
      <c r="R37" s="9"/>
      <c r="S37" s="9"/>
      <c r="T37" s="9"/>
      <c r="U37" s="10"/>
      <c r="V37" s="9"/>
      <c r="W37" s="9"/>
      <c r="X37" s="9"/>
      <c r="Y37" s="9"/>
      <c r="Z37" s="11"/>
      <c r="AA37" s="10"/>
      <c r="AB37" s="9"/>
      <c r="AC37" s="9"/>
      <c r="AD37" s="9"/>
      <c r="AE37" s="9"/>
    </row>
    <row r="38" spans="7:31" ht="18.600000000000001" thickBot="1" x14ac:dyDescent="0.4">
      <c r="G38" s="12"/>
      <c r="H38" s="13"/>
      <c r="I38" s="13"/>
      <c r="J38" s="13"/>
      <c r="K38" s="13"/>
      <c r="L38" s="14"/>
      <c r="M38" s="13"/>
      <c r="N38" s="13"/>
      <c r="O38" s="13"/>
      <c r="P38" s="13"/>
      <c r="Q38" s="13"/>
      <c r="R38" s="13"/>
      <c r="S38" s="13"/>
      <c r="T38" s="13"/>
      <c r="U38" s="12"/>
      <c r="V38" s="13"/>
      <c r="W38" s="13"/>
      <c r="X38" s="13"/>
      <c r="Y38" s="13"/>
      <c r="Z38" s="14"/>
      <c r="AA38" s="10"/>
      <c r="AB38" s="9"/>
      <c r="AC38" s="9"/>
      <c r="AD38" s="9"/>
      <c r="AE38" s="9"/>
    </row>
    <row r="39" spans="7:31" ht="18.600000000000001" thickTop="1" x14ac:dyDescent="0.35">
      <c r="G39" s="16"/>
      <c r="H39" s="17"/>
      <c r="I39" s="17"/>
      <c r="J39" s="17"/>
      <c r="K39" s="17"/>
      <c r="L39" s="17"/>
      <c r="M39" s="17"/>
      <c r="N39" s="17"/>
      <c r="O39" s="17"/>
      <c r="P39" s="17"/>
      <c r="Q39" s="17"/>
      <c r="R39" s="17"/>
      <c r="S39" s="17"/>
      <c r="T39" s="17"/>
      <c r="U39" s="17"/>
      <c r="V39" s="17"/>
      <c r="W39" s="17"/>
      <c r="X39" s="17"/>
      <c r="Y39" s="17"/>
      <c r="Z39" s="20"/>
      <c r="AA39" s="10"/>
      <c r="AB39" s="9"/>
      <c r="AC39" s="9"/>
      <c r="AD39" s="9"/>
      <c r="AE39" s="9"/>
    </row>
    <row r="40" spans="7:31" ht="18" x14ac:dyDescent="0.35">
      <c r="G40" s="10"/>
      <c r="H40" s="9"/>
      <c r="I40" s="9"/>
      <c r="J40" s="9"/>
      <c r="K40" s="9"/>
      <c r="L40" s="9"/>
      <c r="M40" s="9"/>
      <c r="N40" s="9"/>
      <c r="O40" s="9"/>
      <c r="P40" s="9"/>
      <c r="Q40" s="9"/>
      <c r="R40" s="9"/>
      <c r="S40" s="9"/>
      <c r="T40" s="9"/>
      <c r="U40" s="9"/>
      <c r="V40" s="9"/>
      <c r="W40" s="9"/>
      <c r="X40" s="9"/>
      <c r="Y40" s="9"/>
      <c r="Z40" s="11"/>
      <c r="AA40" s="10"/>
      <c r="AB40" s="9"/>
      <c r="AC40" s="9"/>
      <c r="AD40" s="9"/>
      <c r="AE40" s="9"/>
    </row>
    <row r="41" spans="7:31" ht="18" x14ac:dyDescent="0.35">
      <c r="G41" s="10"/>
      <c r="H41" s="9"/>
      <c r="I41" s="9"/>
      <c r="J41" s="9"/>
      <c r="K41" s="9"/>
      <c r="L41" s="9"/>
      <c r="M41" s="9"/>
      <c r="N41" s="9"/>
      <c r="O41" s="9"/>
      <c r="P41" s="9"/>
      <c r="Q41" s="9"/>
      <c r="R41" s="9"/>
      <c r="S41" s="9"/>
      <c r="T41" s="9"/>
      <c r="U41" s="9"/>
      <c r="V41" s="9"/>
      <c r="W41" s="9"/>
      <c r="X41" s="9"/>
      <c r="Y41" s="9"/>
      <c r="Z41" s="11"/>
      <c r="AA41" s="10"/>
      <c r="AB41" s="9"/>
      <c r="AC41" s="9"/>
      <c r="AD41" s="9"/>
      <c r="AE41" s="9"/>
    </row>
    <row r="42" spans="7:31" ht="18" x14ac:dyDescent="0.35">
      <c r="G42" s="10"/>
      <c r="H42" s="9"/>
      <c r="I42" s="9"/>
      <c r="J42" s="9"/>
      <c r="K42" s="9"/>
      <c r="L42" s="9"/>
      <c r="M42" s="9"/>
      <c r="N42" s="9"/>
      <c r="O42" s="9"/>
      <c r="P42" s="9"/>
      <c r="Q42" s="9"/>
      <c r="R42" s="9"/>
      <c r="S42" s="9"/>
      <c r="T42" s="9"/>
      <c r="U42" s="9"/>
      <c r="V42" s="9"/>
      <c r="W42" s="9"/>
      <c r="X42" s="9"/>
      <c r="Y42" s="9"/>
      <c r="Z42" s="11"/>
      <c r="AA42" s="10"/>
      <c r="AB42" s="9"/>
      <c r="AC42" s="9"/>
      <c r="AD42" s="9"/>
      <c r="AE42" s="9"/>
    </row>
    <row r="43" spans="7:31" ht="18" x14ac:dyDescent="0.35">
      <c r="G43" s="10"/>
      <c r="H43" s="9"/>
      <c r="I43" s="9"/>
      <c r="J43" s="9"/>
      <c r="K43" s="9"/>
      <c r="L43" s="9"/>
      <c r="M43" s="9"/>
      <c r="N43" s="9"/>
      <c r="O43" s="9"/>
      <c r="P43" s="9"/>
      <c r="Q43" s="9"/>
      <c r="R43" s="9"/>
      <c r="S43" s="9"/>
      <c r="T43" s="9"/>
      <c r="U43" s="9"/>
      <c r="V43" s="9"/>
      <c r="W43" s="9"/>
      <c r="X43" s="9"/>
      <c r="Y43" s="9"/>
      <c r="Z43" s="11"/>
      <c r="AA43" s="10"/>
      <c r="AB43" s="9"/>
      <c r="AC43" s="9"/>
      <c r="AD43" s="9"/>
      <c r="AE43" s="9"/>
    </row>
    <row r="44" spans="7:31" ht="18" x14ac:dyDescent="0.35">
      <c r="G44" s="10"/>
      <c r="H44" s="9"/>
      <c r="I44" s="9"/>
      <c r="J44" s="9"/>
      <c r="K44" s="9"/>
      <c r="L44" s="9"/>
      <c r="M44" s="9"/>
      <c r="N44" s="9"/>
      <c r="O44" s="9"/>
      <c r="P44" s="9"/>
      <c r="Q44" s="9"/>
      <c r="R44" s="9"/>
      <c r="S44" s="9"/>
      <c r="T44" s="9"/>
      <c r="U44" s="9"/>
      <c r="V44" s="9"/>
      <c r="W44" s="9"/>
      <c r="X44" s="9"/>
      <c r="Y44" s="9"/>
      <c r="Z44" s="11"/>
      <c r="AA44" s="10"/>
      <c r="AB44" s="9"/>
      <c r="AC44" s="9"/>
      <c r="AD44" s="9"/>
      <c r="AE44" s="9"/>
    </row>
    <row r="45" spans="7:31" ht="18" x14ac:dyDescent="0.35">
      <c r="G45" s="10"/>
      <c r="H45" s="9"/>
      <c r="I45" s="9"/>
      <c r="J45" s="9"/>
      <c r="K45" s="9"/>
      <c r="L45" s="9"/>
      <c r="M45" s="9"/>
      <c r="N45" s="9"/>
      <c r="O45" s="9"/>
      <c r="P45" s="9"/>
      <c r="Q45" s="9"/>
      <c r="R45" s="9"/>
      <c r="S45" s="9"/>
      <c r="T45" s="9"/>
      <c r="U45" s="9"/>
      <c r="V45" s="9"/>
      <c r="W45" s="9"/>
      <c r="X45" s="9"/>
      <c r="Y45" s="9"/>
      <c r="Z45" s="11"/>
      <c r="AA45" s="10"/>
      <c r="AB45" s="9"/>
      <c r="AC45" s="9"/>
      <c r="AD45" s="9"/>
      <c r="AE45" s="9"/>
    </row>
    <row r="46" spans="7:31" ht="18" x14ac:dyDescent="0.35">
      <c r="G46" s="10"/>
      <c r="H46" s="9"/>
      <c r="I46" s="9"/>
      <c r="J46" s="9"/>
      <c r="K46" s="9"/>
      <c r="L46" s="9"/>
      <c r="M46" s="9"/>
      <c r="N46" s="9"/>
      <c r="O46" s="9"/>
      <c r="P46" s="9"/>
      <c r="Q46" s="9"/>
      <c r="R46" s="9"/>
      <c r="S46" s="9"/>
      <c r="T46" s="9"/>
      <c r="U46" s="9"/>
      <c r="V46" s="9"/>
      <c r="W46" s="9"/>
      <c r="X46" s="9"/>
      <c r="Y46" s="9"/>
      <c r="Z46" s="11"/>
      <c r="AA46" s="10"/>
      <c r="AB46" s="9"/>
      <c r="AC46" s="9"/>
      <c r="AD46" s="9"/>
      <c r="AE46" s="9"/>
    </row>
    <row r="47" spans="7:31" ht="18" x14ac:dyDescent="0.35">
      <c r="G47" s="10"/>
      <c r="H47" s="9"/>
      <c r="I47" s="9"/>
      <c r="J47" s="9"/>
      <c r="K47" s="9"/>
      <c r="L47" s="9"/>
      <c r="M47" s="9"/>
      <c r="N47" s="9"/>
      <c r="O47" s="9"/>
      <c r="P47" s="9"/>
      <c r="Q47" s="9"/>
      <c r="R47" s="9"/>
      <c r="S47" s="9"/>
      <c r="T47" s="9"/>
      <c r="U47" s="9"/>
      <c r="V47" s="9"/>
      <c r="W47" s="9"/>
      <c r="X47" s="9"/>
      <c r="Y47" s="9"/>
      <c r="Z47" s="11"/>
      <c r="AA47" s="10"/>
      <c r="AB47" s="9"/>
      <c r="AC47" s="9"/>
      <c r="AD47" s="9"/>
      <c r="AE47" s="9"/>
    </row>
    <row r="48" spans="7:31" ht="18" x14ac:dyDescent="0.35">
      <c r="G48" s="10"/>
      <c r="H48" s="9"/>
      <c r="I48" s="9"/>
      <c r="J48" s="9"/>
      <c r="K48" s="9"/>
      <c r="L48" s="9"/>
      <c r="M48" s="9"/>
      <c r="N48" s="9"/>
      <c r="O48" s="9"/>
      <c r="P48" s="9"/>
      <c r="Q48" s="9"/>
      <c r="R48" s="9"/>
      <c r="S48" s="9"/>
      <c r="T48" s="9"/>
      <c r="U48" s="9"/>
      <c r="V48" s="9"/>
      <c r="W48" s="9"/>
      <c r="X48" s="9"/>
      <c r="Y48" s="9"/>
      <c r="Z48" s="11"/>
      <c r="AA48" s="10"/>
      <c r="AB48" s="9"/>
      <c r="AC48" s="9"/>
      <c r="AD48" s="9"/>
      <c r="AE48" s="9"/>
    </row>
    <row r="49" spans="7:31" ht="18" x14ac:dyDescent="0.35">
      <c r="G49" s="10"/>
      <c r="H49" s="9"/>
      <c r="I49" s="9"/>
      <c r="J49" s="9"/>
      <c r="K49" s="9"/>
      <c r="L49" s="9"/>
      <c r="M49" s="9"/>
      <c r="N49" s="9"/>
      <c r="O49" s="9"/>
      <c r="P49" s="9"/>
      <c r="Q49" s="9"/>
      <c r="R49" s="9"/>
      <c r="S49" s="9"/>
      <c r="T49" s="9"/>
      <c r="U49" s="9"/>
      <c r="V49" s="9"/>
      <c r="W49" s="9"/>
      <c r="X49" s="9"/>
      <c r="Y49" s="9"/>
      <c r="Z49" s="11"/>
      <c r="AA49" s="10"/>
      <c r="AB49" s="9"/>
      <c r="AC49" s="9"/>
      <c r="AD49" s="9"/>
      <c r="AE49" s="9"/>
    </row>
    <row r="50" spans="7:31" ht="18" x14ac:dyDescent="0.35">
      <c r="G50" s="10"/>
      <c r="H50" s="9"/>
      <c r="I50" s="9"/>
      <c r="J50" s="9"/>
      <c r="K50" s="9"/>
      <c r="L50" s="9"/>
      <c r="M50" s="9"/>
      <c r="N50" s="9"/>
      <c r="O50" s="9"/>
      <c r="P50" s="9"/>
      <c r="Q50" s="9"/>
      <c r="R50" s="9"/>
      <c r="S50" s="9"/>
      <c r="T50" s="9"/>
      <c r="U50" s="9"/>
      <c r="V50" s="9"/>
      <c r="W50" s="9"/>
      <c r="X50" s="9"/>
      <c r="Y50" s="9"/>
      <c r="Z50" s="11"/>
      <c r="AA50" s="10"/>
      <c r="AB50" s="9"/>
      <c r="AC50" s="9"/>
      <c r="AD50" s="9"/>
      <c r="AE50" s="9"/>
    </row>
    <row r="51" spans="7:31" ht="18" x14ac:dyDescent="0.35">
      <c r="G51" s="10"/>
      <c r="H51" s="9"/>
      <c r="I51" s="9"/>
      <c r="J51" s="9"/>
      <c r="K51" s="9"/>
      <c r="L51" s="9"/>
      <c r="M51" s="9"/>
      <c r="N51" s="9"/>
      <c r="O51" s="9"/>
      <c r="P51" s="9"/>
      <c r="Q51" s="9"/>
      <c r="R51" s="9"/>
      <c r="S51" s="9"/>
      <c r="T51" s="9"/>
      <c r="U51" s="9"/>
      <c r="V51" s="9"/>
      <c r="W51" s="9"/>
      <c r="X51" s="9"/>
      <c r="Y51" s="9"/>
      <c r="Z51" s="11"/>
      <c r="AA51" s="10"/>
      <c r="AB51" s="9"/>
      <c r="AC51" s="9"/>
      <c r="AD51" s="9"/>
      <c r="AE51" s="9"/>
    </row>
    <row r="52" spans="7:31" ht="18" x14ac:dyDescent="0.35">
      <c r="G52" s="10"/>
      <c r="H52" s="9"/>
      <c r="I52" s="9"/>
      <c r="J52" s="9"/>
      <c r="K52" s="9"/>
      <c r="L52" s="9"/>
      <c r="M52" s="9"/>
      <c r="N52" s="9"/>
      <c r="O52" s="9"/>
      <c r="P52" s="9"/>
      <c r="Q52" s="9"/>
      <c r="R52" s="9"/>
      <c r="S52" s="9"/>
      <c r="T52" s="9"/>
      <c r="U52" s="9"/>
      <c r="V52" s="9"/>
      <c r="W52" s="9"/>
      <c r="X52" s="9"/>
      <c r="Y52" s="9"/>
      <c r="Z52" s="11"/>
      <c r="AA52" s="10"/>
      <c r="AB52" s="9"/>
      <c r="AC52" s="9"/>
      <c r="AD52" s="9"/>
      <c r="AE52" s="9"/>
    </row>
    <row r="53" spans="7:31" ht="18.600000000000001" thickBot="1" x14ac:dyDescent="0.4">
      <c r="G53" s="12"/>
      <c r="H53" s="13"/>
      <c r="I53" s="13"/>
      <c r="J53" s="13"/>
      <c r="K53" s="13"/>
      <c r="L53" s="13"/>
      <c r="M53" s="13"/>
      <c r="N53" s="13"/>
      <c r="O53" s="13"/>
      <c r="P53" s="13"/>
      <c r="Q53" s="13"/>
      <c r="R53" s="13"/>
      <c r="S53" s="13"/>
      <c r="T53" s="13"/>
      <c r="U53" s="13"/>
      <c r="V53" s="13"/>
      <c r="W53" s="13"/>
      <c r="X53" s="13"/>
      <c r="Y53" s="13"/>
      <c r="Z53" s="14"/>
      <c r="AA53" s="12"/>
      <c r="AB53" s="13"/>
      <c r="AC53" s="13"/>
      <c r="AD53" s="13"/>
      <c r="AE53" s="13"/>
    </row>
    <row r="54" spans="7:31" ht="18.600000000000001" thickTop="1" x14ac:dyDescent="0.35"/>
    <row r="55" spans="7:31" ht="18" x14ac:dyDescent="0.35"/>
    <row r="56" spans="7:31" ht="18" x14ac:dyDescent="0.35"/>
    <row r="57" spans="7:31" ht="18" x14ac:dyDescent="0.35"/>
    <row r="58" spans="7:31" ht="18" x14ac:dyDescent="0.35"/>
    <row r="59" spans="7:31" ht="18" x14ac:dyDescent="0.35"/>
    <row r="60" spans="7:31" ht="18" x14ac:dyDescent="0.35"/>
    <row r="67" ht="15" thickBot="1" x14ac:dyDescent="0.35"/>
    <row r="68" ht="15" thickBot="1" x14ac:dyDescent="0.35"/>
    <row r="113" ht="15" thickBot="1" x14ac:dyDescent="0.35"/>
    <row r="119" ht="15" thickBot="1" x14ac:dyDescent="0.35"/>
    <row r="120" ht="15" thickBot="1" x14ac:dyDescent="0.35"/>
    <row r="121" ht="15" thickBot="1" x14ac:dyDescent="0.35"/>
    <row r="125" ht="15" thickBot="1" x14ac:dyDescent="0.35"/>
    <row r="131" ht="15" thickBot="1" x14ac:dyDescent="0.35"/>
    <row r="144" ht="15" thickBot="1" x14ac:dyDescent="0.35"/>
    <row r="147" ht="15" thickBot="1" x14ac:dyDescent="0.35"/>
    <row r="152" ht="15" thickBot="1" x14ac:dyDescent="0.35"/>
    <row r="153" ht="15" thickBot="1" x14ac:dyDescent="0.35"/>
    <row r="157" ht="15" thickBot="1" x14ac:dyDescent="0.35"/>
    <row r="175" ht="15" thickBot="1" x14ac:dyDescent="0.35"/>
    <row r="177" ht="15" thickBot="1" x14ac:dyDescent="0.35"/>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91257-F5B9-4489-9328-7E7EADC8A567}">
  <dimension ref="A3:N174"/>
  <sheetViews>
    <sheetView topLeftCell="G1" workbookViewId="0">
      <selection activeCell="O2" sqref="O2:R17"/>
    </sheetView>
  </sheetViews>
  <sheetFormatPr defaultRowHeight="14.4" x14ac:dyDescent="0.3"/>
  <cols>
    <col min="1" max="1" width="12.5546875" bestFit="1" customWidth="1"/>
    <col min="2" max="2" width="17" bestFit="1" customWidth="1"/>
    <col min="4" max="4" width="12.5546875" bestFit="1" customWidth="1"/>
    <col min="5" max="5" width="17" bestFit="1" customWidth="1"/>
    <col min="7" max="7" width="12.5546875" bestFit="1" customWidth="1"/>
    <col min="8" max="9" width="18.109375" bestFit="1" customWidth="1"/>
    <col min="10" max="10" width="12.5546875" bestFit="1" customWidth="1"/>
    <col min="11" max="11" width="17" bestFit="1" customWidth="1"/>
    <col min="12" max="13" width="12.5546875" bestFit="1" customWidth="1"/>
    <col min="14" max="14" width="17" bestFit="1" customWidth="1"/>
    <col min="15" max="15" width="23.6640625" bestFit="1" customWidth="1"/>
    <col min="16" max="16" width="9.77734375" bestFit="1" customWidth="1"/>
    <col min="17" max="17" width="10.77734375" bestFit="1" customWidth="1"/>
    <col min="18" max="18" width="9" bestFit="1" customWidth="1"/>
    <col min="19" max="26" width="17" bestFit="1" customWidth="1"/>
    <col min="27" max="27" width="21.88671875" bestFit="1" customWidth="1"/>
    <col min="28" max="28" width="18.88671875" bestFit="1" customWidth="1"/>
  </cols>
  <sheetData>
    <row r="3" spans="1:14" x14ac:dyDescent="0.3">
      <c r="A3" t="s">
        <v>427</v>
      </c>
      <c r="B3">
        <f>GETPIVOTDATA("EmpCode",$A$7)</f>
        <v>166</v>
      </c>
      <c r="D3" t="s">
        <v>429</v>
      </c>
      <c r="E3">
        <f>GETPIVOTDATA("EmpCode",$D$9)</f>
        <v>151</v>
      </c>
      <c r="G3" t="s">
        <v>428</v>
      </c>
      <c r="H3" s="8">
        <f>GETPIVOTDATA("EmpCode",$G$9)</f>
        <v>14</v>
      </c>
      <c r="I3" s="15"/>
    </row>
    <row r="4" spans="1:14" x14ac:dyDescent="0.3">
      <c r="A4" s="39" t="s">
        <v>425</v>
      </c>
      <c r="B4" s="39"/>
    </row>
    <row r="5" spans="1:14" s="18" customFormat="1" ht="43.2" x14ac:dyDescent="0.3">
      <c r="A5" s="18" t="str">
        <f>A3&amp;" "&amp;B3</f>
        <v>Total Employees 166</v>
      </c>
      <c r="D5" s="18" t="str">
        <f>D3&amp;" "&amp;E3</f>
        <v>Active Employees 151</v>
      </c>
      <c r="G5" s="19" t="str">
        <f>G3&amp;" "&amp;H3</f>
        <v>In-Active Employees 14</v>
      </c>
    </row>
    <row r="7" spans="1:14" x14ac:dyDescent="0.3">
      <c r="A7" s="6" t="s">
        <v>422</v>
      </c>
      <c r="B7" t="s">
        <v>424</v>
      </c>
      <c r="D7" s="6" t="s">
        <v>8</v>
      </c>
      <c r="E7" t="s">
        <v>26</v>
      </c>
      <c r="G7" s="6" t="s">
        <v>10</v>
      </c>
      <c r="H7" t="s">
        <v>426</v>
      </c>
      <c r="J7" s="6" t="s">
        <v>422</v>
      </c>
      <c r="K7" t="s">
        <v>424</v>
      </c>
      <c r="M7" s="6" t="s">
        <v>422</v>
      </c>
      <c r="N7" t="s">
        <v>424</v>
      </c>
    </row>
    <row r="8" spans="1:14" x14ac:dyDescent="0.3">
      <c r="A8" s="7" t="s">
        <v>78</v>
      </c>
      <c r="B8" s="8">
        <v>1</v>
      </c>
      <c r="J8" s="7" t="s">
        <v>206</v>
      </c>
      <c r="K8" s="8">
        <v>2</v>
      </c>
      <c r="M8" s="7" t="s">
        <v>29</v>
      </c>
      <c r="N8" s="8">
        <v>1</v>
      </c>
    </row>
    <row r="9" spans="1:14" x14ac:dyDescent="0.3">
      <c r="A9" s="7" t="s">
        <v>251</v>
      </c>
      <c r="B9" s="8">
        <v>1</v>
      </c>
      <c r="D9" t="s">
        <v>424</v>
      </c>
      <c r="G9" t="s">
        <v>424</v>
      </c>
      <c r="J9" s="7" t="s">
        <v>22</v>
      </c>
      <c r="K9" s="8">
        <v>13</v>
      </c>
      <c r="M9" s="7" t="s">
        <v>54</v>
      </c>
      <c r="N9" s="8">
        <v>7</v>
      </c>
    </row>
    <row r="10" spans="1:14" x14ac:dyDescent="0.3">
      <c r="A10" s="7" t="s">
        <v>84</v>
      </c>
      <c r="B10" s="8">
        <v>1</v>
      </c>
      <c r="D10" s="8">
        <v>151</v>
      </c>
      <c r="G10" s="8">
        <v>14</v>
      </c>
      <c r="J10" s="7" t="s">
        <v>423</v>
      </c>
      <c r="K10" s="8">
        <v>15</v>
      </c>
      <c r="M10" s="7" t="s">
        <v>38</v>
      </c>
      <c r="N10" s="8">
        <v>7</v>
      </c>
    </row>
    <row r="11" spans="1:14" x14ac:dyDescent="0.3">
      <c r="A11" s="7" t="s">
        <v>220</v>
      </c>
      <c r="B11" s="8">
        <v>1</v>
      </c>
      <c r="M11" s="7" t="s">
        <v>423</v>
      </c>
      <c r="N11" s="8">
        <v>15</v>
      </c>
    </row>
    <row r="12" spans="1:14" x14ac:dyDescent="0.3">
      <c r="A12" s="7" t="s">
        <v>222</v>
      </c>
      <c r="B12" s="8">
        <v>1</v>
      </c>
    </row>
    <row r="13" spans="1:14" x14ac:dyDescent="0.3">
      <c r="A13" s="7" t="s">
        <v>92</v>
      </c>
      <c r="B13" s="8">
        <v>1</v>
      </c>
    </row>
    <row r="14" spans="1:14" x14ac:dyDescent="0.3">
      <c r="A14" s="7" t="s">
        <v>99</v>
      </c>
      <c r="B14" s="8">
        <v>1</v>
      </c>
    </row>
    <row r="15" spans="1:14" x14ac:dyDescent="0.3">
      <c r="A15" s="7" t="s">
        <v>44</v>
      </c>
      <c r="B15" s="8">
        <v>1</v>
      </c>
      <c r="G15" s="6" t="s">
        <v>422</v>
      </c>
      <c r="H15" t="s">
        <v>430</v>
      </c>
    </row>
    <row r="16" spans="1:14" x14ac:dyDescent="0.3">
      <c r="A16" s="7" t="s">
        <v>52</v>
      </c>
      <c r="B16" s="8">
        <v>1</v>
      </c>
      <c r="G16" s="7">
        <v>2002</v>
      </c>
      <c r="H16" s="8">
        <v>1</v>
      </c>
      <c r="J16" s="6" t="s">
        <v>422</v>
      </c>
      <c r="K16" t="s">
        <v>424</v>
      </c>
    </row>
    <row r="17" spans="1:11" x14ac:dyDescent="0.3">
      <c r="A17" s="7" t="s">
        <v>105</v>
      </c>
      <c r="B17" s="8">
        <v>1</v>
      </c>
      <c r="D17" s="6" t="s">
        <v>422</v>
      </c>
      <c r="E17" t="s">
        <v>424</v>
      </c>
      <c r="G17" s="7">
        <v>2003</v>
      </c>
      <c r="H17" s="8">
        <v>2</v>
      </c>
      <c r="J17" s="7" t="s">
        <v>32</v>
      </c>
      <c r="K17" s="8">
        <v>2</v>
      </c>
    </row>
    <row r="18" spans="1:11" x14ac:dyDescent="0.3">
      <c r="A18" s="7" t="s">
        <v>113</v>
      </c>
      <c r="B18" s="8">
        <v>1</v>
      </c>
      <c r="D18" s="7" t="s">
        <v>169</v>
      </c>
      <c r="E18" s="8">
        <v>1</v>
      </c>
      <c r="G18" s="7">
        <v>2012</v>
      </c>
      <c r="H18" s="8">
        <v>4</v>
      </c>
      <c r="J18" s="7" t="s">
        <v>49</v>
      </c>
      <c r="K18" s="8">
        <v>13</v>
      </c>
    </row>
    <row r="19" spans="1:11" x14ac:dyDescent="0.3">
      <c r="A19" s="7" t="s">
        <v>115</v>
      </c>
      <c r="B19" s="8">
        <v>1</v>
      </c>
      <c r="D19" s="7" t="s">
        <v>42</v>
      </c>
      <c r="E19" s="8">
        <v>9</v>
      </c>
      <c r="G19" s="7">
        <v>2013</v>
      </c>
      <c r="H19" s="8">
        <v>5</v>
      </c>
      <c r="J19" s="7" t="s">
        <v>423</v>
      </c>
      <c r="K19" s="8">
        <v>15</v>
      </c>
    </row>
    <row r="20" spans="1:11" x14ac:dyDescent="0.3">
      <c r="A20" s="7" t="s">
        <v>117</v>
      </c>
      <c r="B20" s="8">
        <v>1</v>
      </c>
      <c r="D20" s="7" t="s">
        <v>83</v>
      </c>
      <c r="E20" s="8">
        <v>3</v>
      </c>
      <c r="G20" s="7">
        <v>2014</v>
      </c>
      <c r="H20" s="8">
        <v>8</v>
      </c>
    </row>
    <row r="21" spans="1:11" x14ac:dyDescent="0.3">
      <c r="A21" s="7" t="s">
        <v>119</v>
      </c>
      <c r="B21" s="8">
        <v>1</v>
      </c>
      <c r="D21" s="7" t="s">
        <v>34</v>
      </c>
      <c r="E21" s="8">
        <v>2</v>
      </c>
      <c r="G21" s="7">
        <v>2015</v>
      </c>
      <c r="H21" s="8">
        <v>12</v>
      </c>
    </row>
    <row r="22" spans="1:11" x14ac:dyDescent="0.3">
      <c r="A22" s="7" t="s">
        <v>265</v>
      </c>
      <c r="B22" s="8">
        <v>1</v>
      </c>
      <c r="D22" s="7" t="s">
        <v>423</v>
      </c>
      <c r="E22" s="8">
        <v>15</v>
      </c>
      <c r="G22" s="7">
        <v>2016</v>
      </c>
      <c r="H22" s="8">
        <v>15</v>
      </c>
    </row>
    <row r="23" spans="1:11" x14ac:dyDescent="0.3">
      <c r="A23" s="7" t="s">
        <v>121</v>
      </c>
      <c r="B23" s="8">
        <v>1</v>
      </c>
      <c r="G23" s="7" t="s">
        <v>423</v>
      </c>
      <c r="H23" s="8"/>
    </row>
    <row r="24" spans="1:11" x14ac:dyDescent="0.3">
      <c r="A24" s="7" t="s">
        <v>123</v>
      </c>
      <c r="B24" s="8">
        <v>1</v>
      </c>
      <c r="J24" s="6" t="s">
        <v>422</v>
      </c>
      <c r="K24" t="s">
        <v>424</v>
      </c>
    </row>
    <row r="25" spans="1:11" x14ac:dyDescent="0.3">
      <c r="A25" s="7" t="s">
        <v>111</v>
      </c>
      <c r="B25" s="8">
        <v>1</v>
      </c>
      <c r="J25" s="7" t="s">
        <v>57</v>
      </c>
      <c r="K25" s="8">
        <v>6</v>
      </c>
    </row>
    <row r="26" spans="1:11" x14ac:dyDescent="0.3">
      <c r="A26" s="7" t="s">
        <v>409</v>
      </c>
      <c r="B26" s="8">
        <v>1</v>
      </c>
      <c r="J26" s="7" t="s">
        <v>162</v>
      </c>
      <c r="K26" s="8">
        <v>3</v>
      </c>
    </row>
    <row r="27" spans="1:11" x14ac:dyDescent="0.3">
      <c r="A27" s="7" t="s">
        <v>125</v>
      </c>
      <c r="B27" s="8">
        <v>1</v>
      </c>
      <c r="J27" s="7" t="s">
        <v>48</v>
      </c>
      <c r="K27" s="8">
        <v>2</v>
      </c>
    </row>
    <row r="28" spans="1:11" x14ac:dyDescent="0.3">
      <c r="A28" s="7" t="s">
        <v>399</v>
      </c>
      <c r="B28" s="8">
        <v>1</v>
      </c>
      <c r="J28" s="7" t="s">
        <v>104</v>
      </c>
      <c r="K28" s="8">
        <v>1</v>
      </c>
    </row>
    <row r="29" spans="1:11" x14ac:dyDescent="0.3">
      <c r="A29" s="7" t="s">
        <v>128</v>
      </c>
      <c r="B29" s="8">
        <v>1</v>
      </c>
      <c r="J29" s="7" t="s">
        <v>89</v>
      </c>
      <c r="K29" s="8">
        <v>1</v>
      </c>
    </row>
    <row r="30" spans="1:11" x14ac:dyDescent="0.3">
      <c r="A30" s="7" t="s">
        <v>79</v>
      </c>
      <c r="B30" s="8">
        <v>1</v>
      </c>
      <c r="J30" s="7" t="s">
        <v>67</v>
      </c>
      <c r="K30" s="8">
        <v>1</v>
      </c>
    </row>
    <row r="31" spans="1:11" x14ac:dyDescent="0.3">
      <c r="A31" s="7" t="s">
        <v>109</v>
      </c>
      <c r="B31" s="8">
        <v>1</v>
      </c>
      <c r="J31" s="7" t="s">
        <v>41</v>
      </c>
      <c r="K31" s="8">
        <v>1</v>
      </c>
    </row>
    <row r="32" spans="1:11" x14ac:dyDescent="0.3">
      <c r="A32" s="7" t="s">
        <v>130</v>
      </c>
      <c r="B32" s="8">
        <v>1</v>
      </c>
      <c r="J32" s="7" t="s">
        <v>423</v>
      </c>
      <c r="K32" s="8">
        <v>15</v>
      </c>
    </row>
    <row r="33" spans="1:2" x14ac:dyDescent="0.3">
      <c r="A33" s="7" t="s">
        <v>132</v>
      </c>
      <c r="B33" s="8">
        <v>1</v>
      </c>
    </row>
    <row r="34" spans="1:2" x14ac:dyDescent="0.3">
      <c r="A34" s="7" t="s">
        <v>267</v>
      </c>
      <c r="B34" s="8">
        <v>1</v>
      </c>
    </row>
    <row r="35" spans="1:2" x14ac:dyDescent="0.3">
      <c r="A35" s="7" t="s">
        <v>269</v>
      </c>
      <c r="B35" s="8">
        <v>1</v>
      </c>
    </row>
    <row r="36" spans="1:2" x14ac:dyDescent="0.3">
      <c r="A36" s="7" t="s">
        <v>271</v>
      </c>
      <c r="B36" s="8">
        <v>1</v>
      </c>
    </row>
    <row r="37" spans="1:2" x14ac:dyDescent="0.3">
      <c r="A37" s="7" t="s">
        <v>273</v>
      </c>
      <c r="B37" s="8">
        <v>1</v>
      </c>
    </row>
    <row r="38" spans="1:2" x14ac:dyDescent="0.3">
      <c r="A38" s="7" t="s">
        <v>261</v>
      </c>
      <c r="B38" s="8">
        <v>1</v>
      </c>
    </row>
    <row r="39" spans="1:2" x14ac:dyDescent="0.3">
      <c r="A39" s="7" t="s">
        <v>263</v>
      </c>
      <c r="B39" s="8">
        <v>1</v>
      </c>
    </row>
    <row r="40" spans="1:2" x14ac:dyDescent="0.3">
      <c r="A40" s="7" t="s">
        <v>43</v>
      </c>
      <c r="B40" s="8">
        <v>1</v>
      </c>
    </row>
    <row r="41" spans="1:2" x14ac:dyDescent="0.3">
      <c r="A41" s="7" t="s">
        <v>134</v>
      </c>
      <c r="B41" s="8">
        <v>1</v>
      </c>
    </row>
    <row r="42" spans="1:2" x14ac:dyDescent="0.3">
      <c r="A42" s="7" t="s">
        <v>136</v>
      </c>
      <c r="B42" s="8">
        <v>1</v>
      </c>
    </row>
    <row r="43" spans="1:2" x14ac:dyDescent="0.3">
      <c r="A43" s="7" t="s">
        <v>107</v>
      </c>
      <c r="B43" s="8">
        <v>1</v>
      </c>
    </row>
    <row r="44" spans="1:2" x14ac:dyDescent="0.3">
      <c r="A44" s="7" t="s">
        <v>140</v>
      </c>
      <c r="B44" s="8">
        <v>1</v>
      </c>
    </row>
    <row r="45" spans="1:2" x14ac:dyDescent="0.3">
      <c r="A45" s="7" t="s">
        <v>142</v>
      </c>
      <c r="B45" s="8">
        <v>1</v>
      </c>
    </row>
    <row r="46" spans="1:2" x14ac:dyDescent="0.3">
      <c r="A46" s="7" t="s">
        <v>144</v>
      </c>
      <c r="B46" s="8">
        <v>1</v>
      </c>
    </row>
    <row r="47" spans="1:2" x14ac:dyDescent="0.3">
      <c r="A47" s="7" t="s">
        <v>146</v>
      </c>
      <c r="B47" s="8">
        <v>1</v>
      </c>
    </row>
    <row r="48" spans="1:2" x14ac:dyDescent="0.3">
      <c r="A48" s="7" t="s">
        <v>148</v>
      </c>
      <c r="B48" s="8">
        <v>1</v>
      </c>
    </row>
    <row r="49" spans="1:2" x14ac:dyDescent="0.3">
      <c r="A49" s="7" t="s">
        <v>246</v>
      </c>
      <c r="B49" s="8">
        <v>1</v>
      </c>
    </row>
    <row r="50" spans="1:2" x14ac:dyDescent="0.3">
      <c r="A50" s="7" t="s">
        <v>275</v>
      </c>
      <c r="B50" s="8">
        <v>1</v>
      </c>
    </row>
    <row r="51" spans="1:2" x14ac:dyDescent="0.3">
      <c r="A51" s="7" t="s">
        <v>243</v>
      </c>
      <c r="B51" s="8">
        <v>1</v>
      </c>
    </row>
    <row r="52" spans="1:2" x14ac:dyDescent="0.3">
      <c r="A52" s="7" t="s">
        <v>150</v>
      </c>
      <c r="B52" s="8">
        <v>1</v>
      </c>
    </row>
    <row r="53" spans="1:2" x14ac:dyDescent="0.3">
      <c r="A53" s="7" t="s">
        <v>277</v>
      </c>
      <c r="B53" s="8">
        <v>1</v>
      </c>
    </row>
    <row r="54" spans="1:2" x14ac:dyDescent="0.3">
      <c r="A54" s="7" t="s">
        <v>279</v>
      </c>
      <c r="B54" s="8">
        <v>1</v>
      </c>
    </row>
    <row r="55" spans="1:2" x14ac:dyDescent="0.3">
      <c r="A55" s="7" t="s">
        <v>281</v>
      </c>
      <c r="B55" s="8">
        <v>1</v>
      </c>
    </row>
    <row r="56" spans="1:2" x14ac:dyDescent="0.3">
      <c r="A56" s="7" t="s">
        <v>157</v>
      </c>
      <c r="B56" s="8">
        <v>1</v>
      </c>
    </row>
    <row r="57" spans="1:2" x14ac:dyDescent="0.3">
      <c r="A57" s="7" t="s">
        <v>284</v>
      </c>
      <c r="B57" s="8">
        <v>1</v>
      </c>
    </row>
    <row r="58" spans="1:2" x14ac:dyDescent="0.3">
      <c r="A58" s="7" t="s">
        <v>165</v>
      </c>
      <c r="B58" s="8">
        <v>1</v>
      </c>
    </row>
    <row r="59" spans="1:2" x14ac:dyDescent="0.3">
      <c r="A59" s="7" t="s">
        <v>170</v>
      </c>
      <c r="B59" s="8">
        <v>1</v>
      </c>
    </row>
    <row r="60" spans="1:2" x14ac:dyDescent="0.3">
      <c r="A60" s="7" t="s">
        <v>412</v>
      </c>
      <c r="B60" s="8">
        <v>1</v>
      </c>
    </row>
    <row r="61" spans="1:2" x14ac:dyDescent="0.3">
      <c r="A61" s="7" t="s">
        <v>207</v>
      </c>
      <c r="B61" s="8">
        <v>1</v>
      </c>
    </row>
    <row r="62" spans="1:2" x14ac:dyDescent="0.3">
      <c r="A62" s="7" t="s">
        <v>235</v>
      </c>
      <c r="B62" s="8">
        <v>1</v>
      </c>
    </row>
    <row r="63" spans="1:2" x14ac:dyDescent="0.3">
      <c r="A63" s="7" t="s">
        <v>288</v>
      </c>
      <c r="B63" s="8">
        <v>1</v>
      </c>
    </row>
    <row r="64" spans="1:2" x14ac:dyDescent="0.3">
      <c r="A64" s="7" t="s">
        <v>75</v>
      </c>
      <c r="B64" s="8">
        <v>1</v>
      </c>
    </row>
    <row r="65" spans="1:2" x14ac:dyDescent="0.3">
      <c r="A65" s="7" t="s">
        <v>163</v>
      </c>
      <c r="B65" s="8">
        <v>1</v>
      </c>
    </row>
    <row r="66" spans="1:2" x14ac:dyDescent="0.3">
      <c r="A66" s="7" t="s">
        <v>291</v>
      </c>
      <c r="B66" s="8">
        <v>1</v>
      </c>
    </row>
    <row r="67" spans="1:2" x14ac:dyDescent="0.3">
      <c r="A67" s="7" t="s">
        <v>158</v>
      </c>
      <c r="B67" s="8">
        <v>1</v>
      </c>
    </row>
    <row r="68" spans="1:2" x14ac:dyDescent="0.3">
      <c r="A68" s="7" t="s">
        <v>295</v>
      </c>
      <c r="B68" s="8">
        <v>1</v>
      </c>
    </row>
    <row r="69" spans="1:2" x14ac:dyDescent="0.3">
      <c r="A69" s="7" t="s">
        <v>172</v>
      </c>
      <c r="B69" s="8">
        <v>1</v>
      </c>
    </row>
    <row r="70" spans="1:2" x14ac:dyDescent="0.3">
      <c r="A70" s="7" t="s">
        <v>297</v>
      </c>
      <c r="B70" s="8">
        <v>1</v>
      </c>
    </row>
    <row r="71" spans="1:2" x14ac:dyDescent="0.3">
      <c r="A71" s="7" t="s">
        <v>299</v>
      </c>
      <c r="B71" s="8">
        <v>1</v>
      </c>
    </row>
    <row r="72" spans="1:2" x14ac:dyDescent="0.3">
      <c r="A72" s="7" t="s">
        <v>248</v>
      </c>
      <c r="B72" s="8">
        <v>1</v>
      </c>
    </row>
    <row r="73" spans="1:2" x14ac:dyDescent="0.3">
      <c r="A73" s="7" t="s">
        <v>301</v>
      </c>
      <c r="B73" s="8">
        <v>1</v>
      </c>
    </row>
    <row r="74" spans="1:2" x14ac:dyDescent="0.3">
      <c r="A74" s="7" t="s">
        <v>226</v>
      </c>
      <c r="B74" s="8">
        <v>1</v>
      </c>
    </row>
    <row r="75" spans="1:2" x14ac:dyDescent="0.3">
      <c r="A75" s="7" t="s">
        <v>303</v>
      </c>
      <c r="B75" s="8">
        <v>1</v>
      </c>
    </row>
    <row r="76" spans="1:2" x14ac:dyDescent="0.3">
      <c r="A76" s="7" t="s">
        <v>174</v>
      </c>
      <c r="B76" s="8">
        <v>1</v>
      </c>
    </row>
    <row r="77" spans="1:2" x14ac:dyDescent="0.3">
      <c r="A77" s="7" t="s">
        <v>255</v>
      </c>
      <c r="B77" s="8">
        <v>1</v>
      </c>
    </row>
    <row r="78" spans="1:2" x14ac:dyDescent="0.3">
      <c r="A78" s="7" t="s">
        <v>176</v>
      </c>
      <c r="B78" s="8">
        <v>1</v>
      </c>
    </row>
    <row r="79" spans="1:2" x14ac:dyDescent="0.3">
      <c r="A79" s="7" t="s">
        <v>253</v>
      </c>
      <c r="B79" s="8">
        <v>1</v>
      </c>
    </row>
    <row r="80" spans="1:2" x14ac:dyDescent="0.3">
      <c r="A80" s="7" t="s">
        <v>305</v>
      </c>
      <c r="B80" s="8">
        <v>1</v>
      </c>
    </row>
    <row r="81" spans="1:2" x14ac:dyDescent="0.3">
      <c r="A81" s="7" t="s">
        <v>307</v>
      </c>
      <c r="B81" s="8">
        <v>1</v>
      </c>
    </row>
    <row r="82" spans="1:2" x14ac:dyDescent="0.3">
      <c r="A82" s="7" t="s">
        <v>309</v>
      </c>
      <c r="B82" s="8">
        <v>1</v>
      </c>
    </row>
    <row r="83" spans="1:2" x14ac:dyDescent="0.3">
      <c r="A83" s="7" t="s">
        <v>178</v>
      </c>
      <c r="B83" s="8">
        <v>1</v>
      </c>
    </row>
    <row r="84" spans="1:2" x14ac:dyDescent="0.3">
      <c r="A84" s="7" t="s">
        <v>311</v>
      </c>
      <c r="B84" s="8">
        <v>1</v>
      </c>
    </row>
    <row r="85" spans="1:2" x14ac:dyDescent="0.3">
      <c r="A85" s="7" t="s">
        <v>414</v>
      </c>
      <c r="B85" s="8">
        <v>1</v>
      </c>
    </row>
    <row r="86" spans="1:2" x14ac:dyDescent="0.3">
      <c r="A86" s="7" t="s">
        <v>180</v>
      </c>
      <c r="B86" s="8">
        <v>1</v>
      </c>
    </row>
    <row r="87" spans="1:2" x14ac:dyDescent="0.3">
      <c r="A87" s="7" t="s">
        <v>313</v>
      </c>
      <c r="B87" s="8">
        <v>1</v>
      </c>
    </row>
    <row r="88" spans="1:2" x14ac:dyDescent="0.3">
      <c r="A88" s="7" t="s">
        <v>317</v>
      </c>
      <c r="B88" s="8">
        <v>1</v>
      </c>
    </row>
    <row r="89" spans="1:2" x14ac:dyDescent="0.3">
      <c r="A89" s="7" t="s">
        <v>184</v>
      </c>
      <c r="B89" s="8">
        <v>1</v>
      </c>
    </row>
    <row r="90" spans="1:2" x14ac:dyDescent="0.3">
      <c r="A90" s="7" t="s">
        <v>188</v>
      </c>
      <c r="B90" s="8">
        <v>1</v>
      </c>
    </row>
    <row r="91" spans="1:2" x14ac:dyDescent="0.3">
      <c r="A91" s="7" t="s">
        <v>155</v>
      </c>
      <c r="B91" s="8">
        <v>1</v>
      </c>
    </row>
    <row r="92" spans="1:2" x14ac:dyDescent="0.3">
      <c r="A92" s="7" t="s">
        <v>228</v>
      </c>
      <c r="B92" s="8">
        <v>1</v>
      </c>
    </row>
    <row r="93" spans="1:2" x14ac:dyDescent="0.3">
      <c r="A93" s="7" t="s">
        <v>192</v>
      </c>
      <c r="B93" s="8">
        <v>1</v>
      </c>
    </row>
    <row r="94" spans="1:2" x14ac:dyDescent="0.3">
      <c r="A94" s="7" t="s">
        <v>86</v>
      </c>
      <c r="B94" s="8">
        <v>1</v>
      </c>
    </row>
    <row r="95" spans="1:2" x14ac:dyDescent="0.3">
      <c r="A95" s="7" t="s">
        <v>319</v>
      </c>
      <c r="B95" s="8">
        <v>1</v>
      </c>
    </row>
    <row r="96" spans="1:2" x14ac:dyDescent="0.3">
      <c r="A96" s="7" t="s">
        <v>322</v>
      </c>
      <c r="B96" s="8">
        <v>1</v>
      </c>
    </row>
    <row r="97" spans="1:2" x14ac:dyDescent="0.3">
      <c r="A97" s="7" t="s">
        <v>90</v>
      </c>
      <c r="B97" s="8">
        <v>1</v>
      </c>
    </row>
    <row r="98" spans="1:2" x14ac:dyDescent="0.3">
      <c r="A98" s="7" t="s">
        <v>224</v>
      </c>
      <c r="B98" s="8">
        <v>1</v>
      </c>
    </row>
    <row r="99" spans="1:2" x14ac:dyDescent="0.3">
      <c r="A99" s="7" t="s">
        <v>230</v>
      </c>
      <c r="B99" s="8">
        <v>1</v>
      </c>
    </row>
    <row r="100" spans="1:2" x14ac:dyDescent="0.3">
      <c r="A100" s="7" t="s">
        <v>97</v>
      </c>
      <c r="B100" s="8">
        <v>1</v>
      </c>
    </row>
    <row r="101" spans="1:2" x14ac:dyDescent="0.3">
      <c r="A101" s="7" t="s">
        <v>194</v>
      </c>
      <c r="B101" s="8">
        <v>1</v>
      </c>
    </row>
    <row r="102" spans="1:2" x14ac:dyDescent="0.3">
      <c r="A102" s="7" t="s">
        <v>324</v>
      </c>
      <c r="B102" s="8">
        <v>1</v>
      </c>
    </row>
    <row r="103" spans="1:2" x14ac:dyDescent="0.3">
      <c r="A103" s="7" t="s">
        <v>326</v>
      </c>
      <c r="B103" s="8">
        <v>1</v>
      </c>
    </row>
    <row r="104" spans="1:2" x14ac:dyDescent="0.3">
      <c r="A104" s="7" t="s">
        <v>101</v>
      </c>
      <c r="B104" s="8">
        <v>1</v>
      </c>
    </row>
    <row r="105" spans="1:2" x14ac:dyDescent="0.3">
      <c r="A105" s="7" t="s">
        <v>137</v>
      </c>
      <c r="B105" s="8">
        <v>1</v>
      </c>
    </row>
    <row r="106" spans="1:2" x14ac:dyDescent="0.3">
      <c r="A106" s="7" t="s">
        <v>328</v>
      </c>
      <c r="B106" s="8">
        <v>1</v>
      </c>
    </row>
    <row r="107" spans="1:2" x14ac:dyDescent="0.3">
      <c r="A107" s="7" t="s">
        <v>232</v>
      </c>
      <c r="B107" s="8">
        <v>1</v>
      </c>
    </row>
    <row r="108" spans="1:2" x14ac:dyDescent="0.3">
      <c r="A108" s="7" t="s">
        <v>209</v>
      </c>
      <c r="B108" s="8">
        <v>1</v>
      </c>
    </row>
    <row r="109" spans="1:2" x14ac:dyDescent="0.3">
      <c r="A109" s="7" t="s">
        <v>257</v>
      </c>
      <c r="B109" s="8">
        <v>1</v>
      </c>
    </row>
    <row r="110" spans="1:2" x14ac:dyDescent="0.3">
      <c r="A110" s="7" t="s">
        <v>403</v>
      </c>
      <c r="B110" s="8">
        <v>1</v>
      </c>
    </row>
    <row r="111" spans="1:2" x14ac:dyDescent="0.3">
      <c r="A111" s="7" t="s">
        <v>196</v>
      </c>
      <c r="B111" s="8">
        <v>1</v>
      </c>
    </row>
    <row r="112" spans="1:2" x14ac:dyDescent="0.3">
      <c r="A112" s="7" t="s">
        <v>330</v>
      </c>
      <c r="B112" s="8">
        <v>1</v>
      </c>
    </row>
    <row r="113" spans="1:2" x14ac:dyDescent="0.3">
      <c r="A113" s="7" t="s">
        <v>211</v>
      </c>
      <c r="B113" s="8">
        <v>1</v>
      </c>
    </row>
    <row r="114" spans="1:2" x14ac:dyDescent="0.3">
      <c r="A114" s="7" t="s">
        <v>332</v>
      </c>
      <c r="B114" s="8">
        <v>1</v>
      </c>
    </row>
    <row r="115" spans="1:2" x14ac:dyDescent="0.3">
      <c r="A115" s="7" t="s">
        <v>186</v>
      </c>
      <c r="B115" s="8">
        <v>1</v>
      </c>
    </row>
    <row r="116" spans="1:2" x14ac:dyDescent="0.3">
      <c r="A116" s="7" t="s">
        <v>417</v>
      </c>
      <c r="B116" s="8">
        <v>1</v>
      </c>
    </row>
    <row r="117" spans="1:2" x14ac:dyDescent="0.3">
      <c r="A117" s="7" t="s">
        <v>190</v>
      </c>
      <c r="B117" s="8">
        <v>1</v>
      </c>
    </row>
    <row r="118" spans="1:2" x14ac:dyDescent="0.3">
      <c r="A118" s="7" t="s">
        <v>259</v>
      </c>
      <c r="B118" s="8">
        <v>1</v>
      </c>
    </row>
    <row r="119" spans="1:2" x14ac:dyDescent="0.3">
      <c r="A119" s="7" t="s">
        <v>405</v>
      </c>
      <c r="B119" s="8">
        <v>1</v>
      </c>
    </row>
    <row r="120" spans="1:2" x14ac:dyDescent="0.3">
      <c r="A120" s="7" t="s">
        <v>407</v>
      </c>
      <c r="B120" s="8">
        <v>1</v>
      </c>
    </row>
    <row r="121" spans="1:2" x14ac:dyDescent="0.3">
      <c r="A121" s="7" t="s">
        <v>198</v>
      </c>
      <c r="B121" s="8">
        <v>1</v>
      </c>
    </row>
    <row r="122" spans="1:2" x14ac:dyDescent="0.3">
      <c r="A122" s="7" t="s">
        <v>35</v>
      </c>
      <c r="B122" s="8">
        <v>1</v>
      </c>
    </row>
    <row r="123" spans="1:2" x14ac:dyDescent="0.3">
      <c r="A123" s="7" t="s">
        <v>182</v>
      </c>
      <c r="B123" s="8">
        <v>1</v>
      </c>
    </row>
    <row r="124" spans="1:2" x14ac:dyDescent="0.3">
      <c r="A124" s="7" t="s">
        <v>213</v>
      </c>
      <c r="B124" s="8">
        <v>1</v>
      </c>
    </row>
    <row r="125" spans="1:2" x14ac:dyDescent="0.3">
      <c r="A125" s="7" t="s">
        <v>62</v>
      </c>
      <c r="B125" s="8">
        <v>1</v>
      </c>
    </row>
    <row r="126" spans="1:2" x14ac:dyDescent="0.3">
      <c r="A126" s="7" t="s">
        <v>238</v>
      </c>
      <c r="B126" s="8">
        <v>1</v>
      </c>
    </row>
    <row r="127" spans="1:2" x14ac:dyDescent="0.3">
      <c r="A127" s="7" t="s">
        <v>215</v>
      </c>
      <c r="B127" s="8">
        <v>1</v>
      </c>
    </row>
    <row r="128" spans="1:2" x14ac:dyDescent="0.3">
      <c r="A128" s="7" t="s">
        <v>334</v>
      </c>
      <c r="B128" s="8">
        <v>1</v>
      </c>
    </row>
    <row r="129" spans="1:2" x14ac:dyDescent="0.3">
      <c r="A129" s="7" t="s">
        <v>234</v>
      </c>
      <c r="B129" s="8">
        <v>1</v>
      </c>
    </row>
    <row r="130" spans="1:2" x14ac:dyDescent="0.3">
      <c r="A130" s="7" t="s">
        <v>64</v>
      </c>
      <c r="B130" s="8">
        <v>1</v>
      </c>
    </row>
    <row r="131" spans="1:2" x14ac:dyDescent="0.3">
      <c r="A131" s="7" t="s">
        <v>69</v>
      </c>
      <c r="B131" s="8">
        <v>1</v>
      </c>
    </row>
    <row r="132" spans="1:2" x14ac:dyDescent="0.3">
      <c r="A132" s="7" t="s">
        <v>71</v>
      </c>
      <c r="B132" s="8">
        <v>1</v>
      </c>
    </row>
    <row r="133" spans="1:2" x14ac:dyDescent="0.3">
      <c r="A133" s="7" t="s">
        <v>73</v>
      </c>
      <c r="B133" s="8">
        <v>1</v>
      </c>
    </row>
    <row r="134" spans="1:2" x14ac:dyDescent="0.3">
      <c r="A134" s="7" t="s">
        <v>341</v>
      </c>
      <c r="B134" s="8">
        <v>1</v>
      </c>
    </row>
    <row r="135" spans="1:2" x14ac:dyDescent="0.3">
      <c r="A135" s="7" t="s">
        <v>218</v>
      </c>
      <c r="B135" s="8">
        <v>1</v>
      </c>
    </row>
    <row r="136" spans="1:2" x14ac:dyDescent="0.3">
      <c r="A136" s="7" t="s">
        <v>401</v>
      </c>
      <c r="B136" s="8">
        <v>1</v>
      </c>
    </row>
    <row r="137" spans="1:2" x14ac:dyDescent="0.3">
      <c r="A137" s="7" t="s">
        <v>240</v>
      </c>
      <c r="B137" s="8">
        <v>1</v>
      </c>
    </row>
    <row r="138" spans="1:2" x14ac:dyDescent="0.3">
      <c r="A138" s="7" t="s">
        <v>336</v>
      </c>
      <c r="B138" s="8">
        <v>1</v>
      </c>
    </row>
    <row r="139" spans="1:2" x14ac:dyDescent="0.3">
      <c r="A139" s="7" t="s">
        <v>339</v>
      </c>
      <c r="B139" s="8">
        <v>1</v>
      </c>
    </row>
    <row r="140" spans="1:2" x14ac:dyDescent="0.3">
      <c r="A140" s="7" t="s">
        <v>51</v>
      </c>
      <c r="B140" s="8">
        <v>1</v>
      </c>
    </row>
    <row r="141" spans="1:2" x14ac:dyDescent="0.3">
      <c r="A141" s="7" t="s">
        <v>59</v>
      </c>
      <c r="B141" s="8">
        <v>1</v>
      </c>
    </row>
    <row r="142" spans="1:2" x14ac:dyDescent="0.3">
      <c r="A142" s="7" t="s">
        <v>351</v>
      </c>
      <c r="B142" s="8">
        <v>1</v>
      </c>
    </row>
    <row r="143" spans="1:2" x14ac:dyDescent="0.3">
      <c r="A143" s="7" t="s">
        <v>384</v>
      </c>
      <c r="B143" s="8">
        <v>1</v>
      </c>
    </row>
    <row r="144" spans="1:2" x14ac:dyDescent="0.3">
      <c r="A144" s="7" t="s">
        <v>353</v>
      </c>
      <c r="B144" s="8">
        <v>1</v>
      </c>
    </row>
    <row r="145" spans="1:2" x14ac:dyDescent="0.3">
      <c r="A145" s="7" t="s">
        <v>388</v>
      </c>
      <c r="B145" s="8">
        <v>1</v>
      </c>
    </row>
    <row r="146" spans="1:2" x14ac:dyDescent="0.3">
      <c r="A146" s="7" t="s">
        <v>200</v>
      </c>
      <c r="B146" s="8">
        <v>1</v>
      </c>
    </row>
    <row r="147" spans="1:2" x14ac:dyDescent="0.3">
      <c r="A147" s="7" t="s">
        <v>357</v>
      </c>
      <c r="B147" s="8">
        <v>1</v>
      </c>
    </row>
    <row r="148" spans="1:2" x14ac:dyDescent="0.3">
      <c r="A148" s="7" t="s">
        <v>386</v>
      </c>
      <c r="B148" s="8">
        <v>1</v>
      </c>
    </row>
    <row r="149" spans="1:2" x14ac:dyDescent="0.3">
      <c r="A149" s="7" t="s">
        <v>391</v>
      </c>
      <c r="B149" s="8">
        <v>1</v>
      </c>
    </row>
    <row r="150" spans="1:2" x14ac:dyDescent="0.3">
      <c r="A150" s="7" t="s">
        <v>363</v>
      </c>
      <c r="B150" s="8">
        <v>1</v>
      </c>
    </row>
    <row r="151" spans="1:2" x14ac:dyDescent="0.3">
      <c r="A151" s="7" t="s">
        <v>365</v>
      </c>
      <c r="B151" s="8">
        <v>1</v>
      </c>
    </row>
    <row r="152" spans="1:2" x14ac:dyDescent="0.3">
      <c r="A152" s="7" t="s">
        <v>367</v>
      </c>
      <c r="B152" s="8">
        <v>1</v>
      </c>
    </row>
    <row r="153" spans="1:2" x14ac:dyDescent="0.3">
      <c r="A153" s="7" t="s">
        <v>369</v>
      </c>
      <c r="B153" s="8">
        <v>1</v>
      </c>
    </row>
    <row r="154" spans="1:2" x14ac:dyDescent="0.3">
      <c r="A154" s="7" t="s">
        <v>371</v>
      </c>
      <c r="B154" s="8">
        <v>1</v>
      </c>
    </row>
    <row r="155" spans="1:2" x14ac:dyDescent="0.3">
      <c r="A155" s="7" t="s">
        <v>373</v>
      </c>
      <c r="B155" s="8">
        <v>1</v>
      </c>
    </row>
    <row r="156" spans="1:2" x14ac:dyDescent="0.3">
      <c r="A156" s="7" t="s">
        <v>419</v>
      </c>
      <c r="B156" s="8">
        <v>1</v>
      </c>
    </row>
    <row r="157" spans="1:2" x14ac:dyDescent="0.3">
      <c r="A157" s="7" t="s">
        <v>361</v>
      </c>
      <c r="B157" s="8">
        <v>1</v>
      </c>
    </row>
    <row r="158" spans="1:2" x14ac:dyDescent="0.3">
      <c r="A158" s="7" t="s">
        <v>20</v>
      </c>
      <c r="B158" s="8">
        <v>1</v>
      </c>
    </row>
    <row r="159" spans="1:2" x14ac:dyDescent="0.3">
      <c r="A159" s="7" t="s">
        <v>359</v>
      </c>
      <c r="B159" s="8">
        <v>1</v>
      </c>
    </row>
    <row r="160" spans="1:2" x14ac:dyDescent="0.3">
      <c r="A160" s="7" t="s">
        <v>201</v>
      </c>
      <c r="B160" s="8">
        <v>1</v>
      </c>
    </row>
    <row r="161" spans="1:2" x14ac:dyDescent="0.3">
      <c r="A161" s="7" t="s">
        <v>375</v>
      </c>
      <c r="B161" s="8">
        <v>1</v>
      </c>
    </row>
    <row r="162" spans="1:2" x14ac:dyDescent="0.3">
      <c r="A162" s="7" t="s">
        <v>377</v>
      </c>
      <c r="B162" s="8">
        <v>1</v>
      </c>
    </row>
    <row r="163" spans="1:2" x14ac:dyDescent="0.3">
      <c r="A163" s="7" t="s">
        <v>393</v>
      </c>
      <c r="B163" s="8">
        <v>1</v>
      </c>
    </row>
    <row r="164" spans="1:2" x14ac:dyDescent="0.3">
      <c r="A164" s="7" t="s">
        <v>315</v>
      </c>
      <c r="B164" s="8">
        <v>1</v>
      </c>
    </row>
    <row r="165" spans="1:2" x14ac:dyDescent="0.3">
      <c r="A165" s="7" t="s">
        <v>151</v>
      </c>
      <c r="B165" s="8">
        <v>1</v>
      </c>
    </row>
    <row r="166" spans="1:2" x14ac:dyDescent="0.3">
      <c r="A166" s="7" t="s">
        <v>381</v>
      </c>
      <c r="B166" s="8">
        <v>1</v>
      </c>
    </row>
    <row r="167" spans="1:2" x14ac:dyDescent="0.3">
      <c r="A167" s="7" t="s">
        <v>204</v>
      </c>
      <c r="B167" s="8">
        <v>1</v>
      </c>
    </row>
    <row r="168" spans="1:2" x14ac:dyDescent="0.3">
      <c r="A168" s="7" t="s">
        <v>167</v>
      </c>
      <c r="B168" s="8">
        <v>1</v>
      </c>
    </row>
    <row r="169" spans="1:2" x14ac:dyDescent="0.3">
      <c r="A169" s="7" t="s">
        <v>343</v>
      </c>
      <c r="B169" s="8">
        <v>1</v>
      </c>
    </row>
    <row r="170" spans="1:2" x14ac:dyDescent="0.3">
      <c r="A170" s="7" t="s">
        <v>347</v>
      </c>
      <c r="B170" s="8">
        <v>1</v>
      </c>
    </row>
    <row r="171" spans="1:2" x14ac:dyDescent="0.3">
      <c r="A171" s="7" t="s">
        <v>349</v>
      </c>
      <c r="B171" s="8">
        <v>1</v>
      </c>
    </row>
    <row r="172" spans="1:2" x14ac:dyDescent="0.3">
      <c r="A172" s="7" t="s">
        <v>397</v>
      </c>
      <c r="B172" s="8">
        <v>1</v>
      </c>
    </row>
    <row r="173" spans="1:2" x14ac:dyDescent="0.3">
      <c r="A173" s="7" t="s">
        <v>379</v>
      </c>
      <c r="B173" s="8">
        <v>1</v>
      </c>
    </row>
    <row r="174" spans="1:2" x14ac:dyDescent="0.3">
      <c r="A174" s="7" t="s">
        <v>423</v>
      </c>
      <c r="B174" s="8">
        <v>166</v>
      </c>
    </row>
  </sheetData>
  <mergeCells count="1">
    <mergeCell ref="A4:B4"/>
  </mergeCells>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73EB0-E001-4D4F-B2E2-2C5D0CC5AE55}">
  <dimension ref="A1:T167"/>
  <sheetViews>
    <sheetView topLeftCell="H13" workbookViewId="0">
      <selection activeCell="I152" sqref="I152"/>
    </sheetView>
  </sheetViews>
  <sheetFormatPr defaultColWidth="9.109375" defaultRowHeight="14.4" x14ac:dyDescent="0.3"/>
  <cols>
    <col min="1" max="1" width="11.5546875" style="3" customWidth="1"/>
    <col min="2" max="2" width="15" style="3" customWidth="1"/>
    <col min="3" max="3" width="9.6640625" style="3" customWidth="1"/>
    <col min="4" max="4" width="13.5546875" style="3" customWidth="1"/>
    <col min="5" max="5" width="13" style="3" customWidth="1"/>
    <col min="6" max="6" width="11.5546875" style="3" customWidth="1"/>
    <col min="7" max="7" width="15.33203125" style="3" customWidth="1"/>
    <col min="8" max="9" width="9.109375" style="3"/>
    <col min="10" max="10" width="20.33203125" style="3" customWidth="1"/>
    <col min="11" max="11" width="21.33203125" style="3" bestFit="1" customWidth="1"/>
    <col min="12" max="12" width="14" style="3" bestFit="1" customWidth="1"/>
    <col min="13" max="13" width="19.109375" style="3" bestFit="1" customWidth="1"/>
    <col min="14" max="14" width="18.6640625" style="3" bestFit="1" customWidth="1"/>
    <col min="15" max="15" width="14.44140625" style="3" bestFit="1" customWidth="1"/>
    <col min="16" max="16" width="17" style="3" bestFit="1" customWidth="1"/>
    <col min="17" max="17" width="14.109375" style="3" bestFit="1" customWidth="1"/>
    <col min="18" max="16384" width="9.109375" style="3"/>
  </cols>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2" t="s">
        <v>17</v>
      </c>
      <c r="S1" s="2" t="s">
        <v>18</v>
      </c>
      <c r="T1" s="2" t="s">
        <v>19</v>
      </c>
    </row>
    <row r="2" spans="1:20" x14ac:dyDescent="0.3">
      <c r="A2" s="1" t="s">
        <v>20</v>
      </c>
      <c r="B2" s="1" t="s">
        <v>21</v>
      </c>
      <c r="C2" s="1" t="s">
        <v>22</v>
      </c>
      <c r="D2" s="4">
        <v>35068</v>
      </c>
      <c r="E2" s="1" t="s">
        <v>23</v>
      </c>
      <c r="F2" s="4">
        <v>20569</v>
      </c>
      <c r="G2" s="1" t="s">
        <v>24</v>
      </c>
      <c r="H2" s="1" t="s">
        <v>25</v>
      </c>
      <c r="I2" s="1" t="s">
        <v>26</v>
      </c>
      <c r="J2" s="1" t="s">
        <v>27</v>
      </c>
      <c r="K2" s="4" t="s">
        <v>28</v>
      </c>
      <c r="L2" s="1" t="s">
        <v>29</v>
      </c>
      <c r="M2" s="1" t="s">
        <v>30</v>
      </c>
      <c r="N2" s="1" t="s">
        <v>28</v>
      </c>
      <c r="O2" s="1" t="s">
        <v>31</v>
      </c>
      <c r="P2" s="1" t="s">
        <v>32</v>
      </c>
      <c r="Q2" s="2" t="s">
        <v>33</v>
      </c>
      <c r="R2" s="2" t="s">
        <v>34</v>
      </c>
      <c r="S2" s="2">
        <f t="shared" ref="S2:S65" si="0">YEAR(D2)</f>
        <v>1996</v>
      </c>
      <c r="T2" s="2" t="str">
        <f t="shared" ref="T2:T65" si="1">TEXT(D2,"MMM")</f>
        <v>Jan</v>
      </c>
    </row>
    <row r="3" spans="1:20" x14ac:dyDescent="0.3">
      <c r="A3" s="1" t="s">
        <v>35</v>
      </c>
      <c r="B3" s="1" t="s">
        <v>36</v>
      </c>
      <c r="C3" s="1" t="s">
        <v>22</v>
      </c>
      <c r="D3" s="4">
        <v>41974</v>
      </c>
      <c r="E3" s="1" t="s">
        <v>23</v>
      </c>
      <c r="F3" s="4">
        <v>19981</v>
      </c>
      <c r="G3" s="1" t="s">
        <v>24</v>
      </c>
      <c r="H3" s="1" t="s">
        <v>37</v>
      </c>
      <c r="I3" s="1" t="s">
        <v>26</v>
      </c>
      <c r="J3" s="1" t="s">
        <v>27</v>
      </c>
      <c r="K3" s="4" t="s">
        <v>28</v>
      </c>
      <c r="L3" s="1" t="s">
        <v>38</v>
      </c>
      <c r="M3" s="1" t="s">
        <v>39</v>
      </c>
      <c r="N3" s="1" t="s">
        <v>40</v>
      </c>
      <c r="O3" s="1" t="s">
        <v>41</v>
      </c>
      <c r="P3" s="1" t="s">
        <v>32</v>
      </c>
      <c r="Q3" s="2" t="s">
        <v>33</v>
      </c>
      <c r="R3" s="2" t="s">
        <v>42</v>
      </c>
      <c r="S3" s="2">
        <f t="shared" si="0"/>
        <v>2014</v>
      </c>
      <c r="T3" s="2" t="str">
        <f t="shared" si="1"/>
        <v>Dec</v>
      </c>
    </row>
    <row r="4" spans="1:20" x14ac:dyDescent="0.3">
      <c r="A4" s="1" t="s">
        <v>43</v>
      </c>
      <c r="B4" s="1" t="s">
        <v>44</v>
      </c>
      <c r="C4" s="1" t="s">
        <v>22</v>
      </c>
      <c r="D4" s="4">
        <v>38785</v>
      </c>
      <c r="E4" s="1" t="s">
        <v>23</v>
      </c>
      <c r="F4" s="4">
        <v>29356</v>
      </c>
      <c r="G4" s="1" t="s">
        <v>24</v>
      </c>
      <c r="H4" s="1" t="s">
        <v>45</v>
      </c>
      <c r="I4" s="1" t="s">
        <v>26</v>
      </c>
      <c r="J4" s="1" t="s">
        <v>27</v>
      </c>
      <c r="K4" s="4" t="s">
        <v>28</v>
      </c>
      <c r="L4" s="1" t="s">
        <v>38</v>
      </c>
      <c r="M4" s="1" t="s">
        <v>46</v>
      </c>
      <c r="N4" s="1" t="s">
        <v>47</v>
      </c>
      <c r="O4" s="1" t="s">
        <v>48</v>
      </c>
      <c r="P4" s="1" t="s">
        <v>49</v>
      </c>
      <c r="Q4" s="2" t="s">
        <v>50</v>
      </c>
      <c r="R4" s="2" t="s">
        <v>34</v>
      </c>
      <c r="S4" s="2">
        <f t="shared" si="0"/>
        <v>2006</v>
      </c>
      <c r="T4" s="2" t="str">
        <f t="shared" si="1"/>
        <v>Mar</v>
      </c>
    </row>
    <row r="5" spans="1:20" x14ac:dyDescent="0.3">
      <c r="A5" s="1" t="s">
        <v>51</v>
      </c>
      <c r="B5" s="1" t="s">
        <v>52</v>
      </c>
      <c r="C5" s="1" t="s">
        <v>22</v>
      </c>
      <c r="D5" s="4">
        <v>42262</v>
      </c>
      <c r="E5" s="1" t="s">
        <v>23</v>
      </c>
      <c r="F5" s="4">
        <v>26439</v>
      </c>
      <c r="G5" s="1" t="s">
        <v>24</v>
      </c>
      <c r="H5" s="1" t="s">
        <v>53</v>
      </c>
      <c r="I5" s="1" t="s">
        <v>26</v>
      </c>
      <c r="J5" s="1" t="s">
        <v>27</v>
      </c>
      <c r="K5" s="4" t="s">
        <v>28</v>
      </c>
      <c r="L5" s="1" t="s">
        <v>54</v>
      </c>
      <c r="M5" s="1" t="s">
        <v>55</v>
      </c>
      <c r="N5" s="1" t="s">
        <v>56</v>
      </c>
      <c r="O5" s="1" t="s">
        <v>57</v>
      </c>
      <c r="P5" s="1" t="s">
        <v>49</v>
      </c>
      <c r="Q5" s="2" t="s">
        <v>58</v>
      </c>
      <c r="R5" s="2" t="s">
        <v>42</v>
      </c>
      <c r="S5" s="2">
        <f t="shared" si="0"/>
        <v>2015</v>
      </c>
      <c r="T5" s="2" t="str">
        <f t="shared" si="1"/>
        <v>Sep</v>
      </c>
    </row>
    <row r="6" spans="1:20" x14ac:dyDescent="0.3">
      <c r="A6" s="1" t="s">
        <v>59</v>
      </c>
      <c r="B6" s="1" t="s">
        <v>52</v>
      </c>
      <c r="C6" s="1" t="s">
        <v>22</v>
      </c>
      <c r="D6" s="4">
        <v>42277</v>
      </c>
      <c r="E6" s="1" t="s">
        <v>23</v>
      </c>
      <c r="F6" s="4">
        <v>30456</v>
      </c>
      <c r="G6" s="1" t="s">
        <v>24</v>
      </c>
      <c r="H6" s="1" t="s">
        <v>53</v>
      </c>
      <c r="I6" s="1" t="s">
        <v>26</v>
      </c>
      <c r="J6" s="1" t="s">
        <v>27</v>
      </c>
      <c r="K6" s="4" t="s">
        <v>28</v>
      </c>
      <c r="L6" s="1" t="s">
        <v>54</v>
      </c>
      <c r="M6" s="1" t="s">
        <v>60</v>
      </c>
      <c r="N6" s="1" t="s">
        <v>56</v>
      </c>
      <c r="O6" s="1" t="s">
        <v>57</v>
      </c>
      <c r="P6" s="1" t="s">
        <v>49</v>
      </c>
      <c r="Q6" s="2" t="s">
        <v>61</v>
      </c>
      <c r="R6" s="2" t="s">
        <v>42</v>
      </c>
      <c r="S6" s="2">
        <f t="shared" si="0"/>
        <v>2015</v>
      </c>
      <c r="T6" s="2" t="str">
        <f t="shared" si="1"/>
        <v>Sep</v>
      </c>
    </row>
    <row r="7" spans="1:20" x14ac:dyDescent="0.3">
      <c r="A7" s="1" t="s">
        <v>62</v>
      </c>
      <c r="B7" s="1" t="s">
        <v>52</v>
      </c>
      <c r="C7" s="1" t="s">
        <v>22</v>
      </c>
      <c r="D7" s="4">
        <v>42036</v>
      </c>
      <c r="E7" s="1" t="s">
        <v>23</v>
      </c>
      <c r="F7" s="4">
        <v>22029</v>
      </c>
      <c r="G7" s="1" t="s">
        <v>24</v>
      </c>
      <c r="H7" s="1" t="s">
        <v>45</v>
      </c>
      <c r="I7" s="1" t="s">
        <v>26</v>
      </c>
      <c r="J7" s="1" t="s">
        <v>27</v>
      </c>
      <c r="K7" s="4" t="s">
        <v>28</v>
      </c>
      <c r="L7" s="1" t="s">
        <v>54</v>
      </c>
      <c r="M7" s="1" t="s">
        <v>63</v>
      </c>
      <c r="N7" s="1" t="s">
        <v>56</v>
      </c>
      <c r="O7" s="1" t="s">
        <v>48</v>
      </c>
      <c r="P7" s="1" t="s">
        <v>49</v>
      </c>
      <c r="Q7" s="2" t="s">
        <v>33</v>
      </c>
      <c r="R7" s="2" t="s">
        <v>42</v>
      </c>
      <c r="S7" s="2">
        <f t="shared" si="0"/>
        <v>2015</v>
      </c>
      <c r="T7" s="2" t="str">
        <f t="shared" si="1"/>
        <v>Feb</v>
      </c>
    </row>
    <row r="8" spans="1:20" x14ac:dyDescent="0.3">
      <c r="A8" s="1" t="s">
        <v>64</v>
      </c>
      <c r="B8" s="1" t="s">
        <v>52</v>
      </c>
      <c r="C8" s="1" t="s">
        <v>22</v>
      </c>
      <c r="D8" s="4">
        <v>42190</v>
      </c>
      <c r="E8" s="1" t="s">
        <v>23</v>
      </c>
      <c r="F8" s="4">
        <v>32331</v>
      </c>
      <c r="G8" s="1" t="s">
        <v>24</v>
      </c>
      <c r="H8" s="1" t="s">
        <v>65</v>
      </c>
      <c r="I8" s="1" t="s">
        <v>26</v>
      </c>
      <c r="J8" s="1" t="s">
        <v>27</v>
      </c>
      <c r="K8" s="4" t="s">
        <v>28</v>
      </c>
      <c r="L8" s="1" t="s">
        <v>54</v>
      </c>
      <c r="M8" s="1" t="s">
        <v>66</v>
      </c>
      <c r="N8" s="1" t="s">
        <v>56</v>
      </c>
      <c r="O8" s="1" t="s">
        <v>67</v>
      </c>
      <c r="P8" s="1" t="s">
        <v>49</v>
      </c>
      <c r="Q8" s="2" t="s">
        <v>68</v>
      </c>
      <c r="R8" s="2" t="s">
        <v>42</v>
      </c>
      <c r="S8" s="2">
        <f t="shared" si="0"/>
        <v>2015</v>
      </c>
      <c r="T8" s="2" t="str">
        <f t="shared" si="1"/>
        <v>Jul</v>
      </c>
    </row>
    <row r="9" spans="1:20" x14ac:dyDescent="0.3">
      <c r="A9" s="1" t="s">
        <v>69</v>
      </c>
      <c r="B9" s="1" t="s">
        <v>52</v>
      </c>
      <c r="C9" s="1" t="s">
        <v>22</v>
      </c>
      <c r="D9" s="4">
        <v>42229</v>
      </c>
      <c r="E9" s="1" t="s">
        <v>23</v>
      </c>
      <c r="F9" s="4">
        <v>27792</v>
      </c>
      <c r="G9" s="1" t="s">
        <v>24</v>
      </c>
      <c r="H9" s="1" t="s">
        <v>53</v>
      </c>
      <c r="I9" s="1" t="s">
        <v>26</v>
      </c>
      <c r="J9" s="1" t="s">
        <v>27</v>
      </c>
      <c r="K9" s="4" t="s">
        <v>28</v>
      </c>
      <c r="L9" s="1" t="s">
        <v>54</v>
      </c>
      <c r="M9" s="1" t="s">
        <v>70</v>
      </c>
      <c r="N9" s="1" t="s">
        <v>56</v>
      </c>
      <c r="O9" s="1" t="s">
        <v>57</v>
      </c>
      <c r="P9" s="1" t="s">
        <v>49</v>
      </c>
      <c r="Q9" s="2" t="s">
        <v>58</v>
      </c>
      <c r="R9" s="2" t="s">
        <v>42</v>
      </c>
      <c r="S9" s="2">
        <f t="shared" si="0"/>
        <v>2015</v>
      </c>
      <c r="T9" s="2" t="str">
        <f t="shared" si="1"/>
        <v>Aug</v>
      </c>
    </row>
    <row r="10" spans="1:20" x14ac:dyDescent="0.3">
      <c r="A10" s="1" t="s">
        <v>71</v>
      </c>
      <c r="B10" s="1" t="s">
        <v>52</v>
      </c>
      <c r="C10" s="1" t="s">
        <v>22</v>
      </c>
      <c r="D10" s="4">
        <v>42229</v>
      </c>
      <c r="E10" s="1" t="s">
        <v>23</v>
      </c>
      <c r="F10" s="4">
        <v>27829</v>
      </c>
      <c r="G10" s="1" t="s">
        <v>24</v>
      </c>
      <c r="H10" s="1" t="s">
        <v>53</v>
      </c>
      <c r="I10" s="1" t="s">
        <v>26</v>
      </c>
      <c r="J10" s="1" t="s">
        <v>27</v>
      </c>
      <c r="K10" s="4" t="s">
        <v>28</v>
      </c>
      <c r="L10" s="1" t="s">
        <v>54</v>
      </c>
      <c r="M10" s="1" t="s">
        <v>72</v>
      </c>
      <c r="N10" s="1" t="s">
        <v>56</v>
      </c>
      <c r="O10" s="1" t="s">
        <v>57</v>
      </c>
      <c r="P10" s="1" t="s">
        <v>49</v>
      </c>
      <c r="Q10" s="2" t="s">
        <v>58</v>
      </c>
      <c r="R10" s="2" t="s">
        <v>42</v>
      </c>
      <c r="S10" s="2">
        <f t="shared" si="0"/>
        <v>2015</v>
      </c>
      <c r="T10" s="2" t="str">
        <f t="shared" si="1"/>
        <v>Aug</v>
      </c>
    </row>
    <row r="11" spans="1:20" x14ac:dyDescent="0.3">
      <c r="A11" s="1" t="s">
        <v>73</v>
      </c>
      <c r="B11" s="1" t="s">
        <v>52</v>
      </c>
      <c r="C11" s="1" t="s">
        <v>22</v>
      </c>
      <c r="D11" s="4">
        <v>42237</v>
      </c>
      <c r="E11" s="1" t="s">
        <v>23</v>
      </c>
      <c r="F11" s="4">
        <v>26807</v>
      </c>
      <c r="G11" s="1" t="s">
        <v>24</v>
      </c>
      <c r="H11" s="1" t="s">
        <v>53</v>
      </c>
      <c r="I11" s="1" t="s">
        <v>26</v>
      </c>
      <c r="J11" s="1" t="s">
        <v>27</v>
      </c>
      <c r="K11" s="4" t="s">
        <v>28</v>
      </c>
      <c r="L11" s="1" t="s">
        <v>54</v>
      </c>
      <c r="M11" s="1" t="s">
        <v>74</v>
      </c>
      <c r="N11" s="1" t="s">
        <v>56</v>
      </c>
      <c r="O11" s="1" t="s">
        <v>57</v>
      </c>
      <c r="P11" s="1" t="s">
        <v>49</v>
      </c>
      <c r="Q11" s="2" t="s">
        <v>58</v>
      </c>
      <c r="R11" s="2" t="s">
        <v>42</v>
      </c>
      <c r="S11" s="2">
        <f t="shared" si="0"/>
        <v>2015</v>
      </c>
      <c r="T11" s="2" t="str">
        <f t="shared" si="1"/>
        <v>Aug</v>
      </c>
    </row>
    <row r="12" spans="1:20" x14ac:dyDescent="0.3">
      <c r="A12" s="1" t="s">
        <v>75</v>
      </c>
      <c r="B12" s="1" t="s">
        <v>52</v>
      </c>
      <c r="C12" s="1" t="s">
        <v>22</v>
      </c>
      <c r="D12" s="4">
        <v>40384</v>
      </c>
      <c r="E12" s="1" t="s">
        <v>23</v>
      </c>
      <c r="F12" s="4">
        <v>28498</v>
      </c>
      <c r="G12" s="1" t="s">
        <v>24</v>
      </c>
      <c r="H12" s="1" t="s">
        <v>45</v>
      </c>
      <c r="I12" s="1" t="s">
        <v>26</v>
      </c>
      <c r="J12" s="1" t="s">
        <v>27</v>
      </c>
      <c r="K12" s="4" t="s">
        <v>28</v>
      </c>
      <c r="L12" s="1" t="s">
        <v>54</v>
      </c>
      <c r="M12" s="1" t="s">
        <v>76</v>
      </c>
      <c r="N12" s="1" t="s">
        <v>56</v>
      </c>
      <c r="O12" s="1" t="s">
        <v>48</v>
      </c>
      <c r="P12" s="1" t="s">
        <v>49</v>
      </c>
      <c r="Q12" s="2" t="s">
        <v>50</v>
      </c>
      <c r="R12" s="2" t="s">
        <v>77</v>
      </c>
      <c r="S12" s="2">
        <f t="shared" si="0"/>
        <v>2010</v>
      </c>
      <c r="T12" s="2" t="str">
        <f t="shared" si="1"/>
        <v>Jul</v>
      </c>
    </row>
    <row r="13" spans="1:20" x14ac:dyDescent="0.3">
      <c r="A13" s="1" t="s">
        <v>78</v>
      </c>
      <c r="B13" s="1" t="s">
        <v>79</v>
      </c>
      <c r="C13" s="1" t="s">
        <v>22</v>
      </c>
      <c r="D13" s="4">
        <v>41455</v>
      </c>
      <c r="E13" s="1" t="s">
        <v>23</v>
      </c>
      <c r="F13" s="4">
        <v>17939</v>
      </c>
      <c r="G13" s="1" t="s">
        <v>24</v>
      </c>
      <c r="H13" s="1" t="s">
        <v>53</v>
      </c>
      <c r="I13" s="1" t="s">
        <v>26</v>
      </c>
      <c r="J13" s="1" t="s">
        <v>27</v>
      </c>
      <c r="K13" s="4" t="s">
        <v>28</v>
      </c>
      <c r="L13" s="1" t="s">
        <v>80</v>
      </c>
      <c r="M13" s="1" t="s">
        <v>81</v>
      </c>
      <c r="N13" s="1" t="s">
        <v>82</v>
      </c>
      <c r="O13" s="1" t="s">
        <v>57</v>
      </c>
      <c r="P13" s="1" t="s">
        <v>49</v>
      </c>
      <c r="Q13" s="2" t="s">
        <v>33</v>
      </c>
      <c r="R13" s="2" t="s">
        <v>83</v>
      </c>
      <c r="S13" s="2">
        <f t="shared" si="0"/>
        <v>2013</v>
      </c>
      <c r="T13" s="2" t="str">
        <f t="shared" si="1"/>
        <v>Jun</v>
      </c>
    </row>
    <row r="14" spans="1:20" x14ac:dyDescent="0.3">
      <c r="A14" s="1" t="s">
        <v>84</v>
      </c>
      <c r="B14" s="1" t="s">
        <v>35</v>
      </c>
      <c r="C14" s="1" t="s">
        <v>22</v>
      </c>
      <c r="D14" s="4">
        <v>35427</v>
      </c>
      <c r="E14" s="1" t="s">
        <v>23</v>
      </c>
      <c r="F14" s="4">
        <v>26433</v>
      </c>
      <c r="G14" s="1" t="s">
        <v>24</v>
      </c>
      <c r="H14" s="1" t="s">
        <v>45</v>
      </c>
      <c r="I14" s="1" t="s">
        <v>26</v>
      </c>
      <c r="J14" s="1" t="s">
        <v>27</v>
      </c>
      <c r="K14" s="4" t="s">
        <v>28</v>
      </c>
      <c r="L14" s="1" t="s">
        <v>29</v>
      </c>
      <c r="M14" s="1" t="s">
        <v>85</v>
      </c>
      <c r="N14" s="1" t="s">
        <v>39</v>
      </c>
      <c r="O14" s="1" t="s">
        <v>48</v>
      </c>
      <c r="P14" s="1" t="s">
        <v>49</v>
      </c>
      <c r="Q14" s="2" t="s">
        <v>58</v>
      </c>
      <c r="R14" s="2" t="s">
        <v>34</v>
      </c>
      <c r="S14" s="2">
        <f t="shared" si="0"/>
        <v>1996</v>
      </c>
      <c r="T14" s="2" t="str">
        <f t="shared" si="1"/>
        <v>Dec</v>
      </c>
    </row>
    <row r="15" spans="1:20" x14ac:dyDescent="0.3">
      <c r="A15" s="1" t="s">
        <v>86</v>
      </c>
      <c r="B15" s="1" t="s">
        <v>52</v>
      </c>
      <c r="C15" s="1" t="s">
        <v>22</v>
      </c>
      <c r="D15" s="4">
        <v>41399</v>
      </c>
      <c r="E15" s="1" t="s">
        <v>23</v>
      </c>
      <c r="F15" s="4">
        <v>31186</v>
      </c>
      <c r="G15" s="1" t="s">
        <v>24</v>
      </c>
      <c r="H15" s="1" t="s">
        <v>87</v>
      </c>
      <c r="I15" s="1" t="s">
        <v>26</v>
      </c>
      <c r="J15" s="1" t="s">
        <v>27</v>
      </c>
      <c r="K15" s="4" t="s">
        <v>28</v>
      </c>
      <c r="L15" s="1" t="s">
        <v>54</v>
      </c>
      <c r="M15" s="1" t="s">
        <v>88</v>
      </c>
      <c r="N15" s="1" t="s">
        <v>56</v>
      </c>
      <c r="O15" s="1" t="s">
        <v>89</v>
      </c>
      <c r="P15" s="1" t="s">
        <v>49</v>
      </c>
      <c r="Q15" s="2" t="s">
        <v>61</v>
      </c>
      <c r="R15" s="2" t="s">
        <v>83</v>
      </c>
      <c r="S15" s="2">
        <f t="shared" si="0"/>
        <v>2013</v>
      </c>
      <c r="T15" s="2" t="str">
        <f t="shared" si="1"/>
        <v>May</v>
      </c>
    </row>
    <row r="16" spans="1:20" x14ac:dyDescent="0.3">
      <c r="A16" s="1" t="s">
        <v>90</v>
      </c>
      <c r="B16" s="1" t="s">
        <v>52</v>
      </c>
      <c r="C16" s="1" t="s">
        <v>22</v>
      </c>
      <c r="D16" s="4">
        <v>41440</v>
      </c>
      <c r="E16" s="1" t="s">
        <v>23</v>
      </c>
      <c r="F16" s="4">
        <v>31192</v>
      </c>
      <c r="G16" s="1" t="s">
        <v>24</v>
      </c>
      <c r="H16" s="1" t="s">
        <v>65</v>
      </c>
      <c r="I16" s="1" t="s">
        <v>26</v>
      </c>
      <c r="J16" s="1" t="s">
        <v>27</v>
      </c>
      <c r="K16" s="4" t="s">
        <v>28</v>
      </c>
      <c r="L16" s="1" t="s">
        <v>54</v>
      </c>
      <c r="M16" s="1" t="s">
        <v>91</v>
      </c>
      <c r="N16" s="1" t="s">
        <v>56</v>
      </c>
      <c r="O16" s="1" t="s">
        <v>67</v>
      </c>
      <c r="P16" s="1" t="s">
        <v>49</v>
      </c>
      <c r="Q16" s="2" t="s">
        <v>61</v>
      </c>
      <c r="R16" s="2" t="s">
        <v>83</v>
      </c>
      <c r="S16" s="2">
        <f t="shared" si="0"/>
        <v>2013</v>
      </c>
      <c r="T16" s="2" t="str">
        <f t="shared" si="1"/>
        <v>Jun</v>
      </c>
    </row>
    <row r="17" spans="1:20" x14ac:dyDescent="0.3">
      <c r="A17" s="1" t="s">
        <v>92</v>
      </c>
      <c r="B17" s="1" t="s">
        <v>35</v>
      </c>
      <c r="C17" s="1" t="s">
        <v>22</v>
      </c>
      <c r="D17" s="4">
        <v>35556</v>
      </c>
      <c r="E17" s="1" t="s">
        <v>23</v>
      </c>
      <c r="F17" s="4">
        <v>24440</v>
      </c>
      <c r="G17" s="1" t="s">
        <v>24</v>
      </c>
      <c r="H17" s="1" t="s">
        <v>93</v>
      </c>
      <c r="I17" s="1" t="s">
        <v>26</v>
      </c>
      <c r="J17" s="1" t="s">
        <v>27</v>
      </c>
      <c r="K17" s="4" t="s">
        <v>28</v>
      </c>
      <c r="L17" s="1" t="s">
        <v>29</v>
      </c>
      <c r="M17" s="1" t="s">
        <v>94</v>
      </c>
      <c r="N17" s="1" t="s">
        <v>39</v>
      </c>
      <c r="O17" s="1" t="s">
        <v>95</v>
      </c>
      <c r="P17" s="1" t="s">
        <v>32</v>
      </c>
      <c r="Q17" s="2" t="s">
        <v>96</v>
      </c>
      <c r="R17" s="2" t="s">
        <v>34</v>
      </c>
      <c r="S17" s="2">
        <f t="shared" si="0"/>
        <v>1997</v>
      </c>
      <c r="T17" s="2" t="str">
        <f t="shared" si="1"/>
        <v>May</v>
      </c>
    </row>
    <row r="18" spans="1:20" x14ac:dyDescent="0.3">
      <c r="A18" s="1" t="s">
        <v>97</v>
      </c>
      <c r="B18" s="1" t="s">
        <v>52</v>
      </c>
      <c r="C18" s="1" t="s">
        <v>22</v>
      </c>
      <c r="D18" s="4">
        <v>41559</v>
      </c>
      <c r="E18" s="1" t="s">
        <v>23</v>
      </c>
      <c r="F18" s="4">
        <v>20941</v>
      </c>
      <c r="G18" s="1" t="s">
        <v>24</v>
      </c>
      <c r="H18" s="1" t="s">
        <v>53</v>
      </c>
      <c r="I18" s="1" t="s">
        <v>26</v>
      </c>
      <c r="J18" s="1" t="s">
        <v>27</v>
      </c>
      <c r="K18" s="4" t="s">
        <v>28</v>
      </c>
      <c r="L18" s="1" t="s">
        <v>54</v>
      </c>
      <c r="M18" s="1" t="s">
        <v>98</v>
      </c>
      <c r="N18" s="1" t="s">
        <v>56</v>
      </c>
      <c r="O18" s="1" t="s">
        <v>57</v>
      </c>
      <c r="P18" s="1" t="s">
        <v>49</v>
      </c>
      <c r="Q18" s="2" t="s">
        <v>33</v>
      </c>
      <c r="R18" s="2" t="s">
        <v>83</v>
      </c>
      <c r="S18" s="2">
        <f t="shared" si="0"/>
        <v>2013</v>
      </c>
      <c r="T18" s="2" t="str">
        <f t="shared" si="1"/>
        <v>Oct</v>
      </c>
    </row>
    <row r="19" spans="1:20" x14ac:dyDescent="0.3">
      <c r="A19" s="1" t="s">
        <v>99</v>
      </c>
      <c r="B19" s="1" t="s">
        <v>79</v>
      </c>
      <c r="C19" s="1" t="s">
        <v>22</v>
      </c>
      <c r="D19" s="4">
        <v>35707</v>
      </c>
      <c r="E19" s="1" t="s">
        <v>23</v>
      </c>
      <c r="F19" s="4">
        <v>18781</v>
      </c>
      <c r="G19" s="1" t="s">
        <v>24</v>
      </c>
      <c r="H19" s="1" t="s">
        <v>65</v>
      </c>
      <c r="I19" s="1" t="s">
        <v>26</v>
      </c>
      <c r="J19" s="1" t="s">
        <v>27</v>
      </c>
      <c r="K19" s="4" t="s">
        <v>28</v>
      </c>
      <c r="L19" s="1" t="s">
        <v>54</v>
      </c>
      <c r="M19" s="1" t="s">
        <v>100</v>
      </c>
      <c r="N19" s="1" t="s">
        <v>82</v>
      </c>
      <c r="O19" s="1" t="s">
        <v>67</v>
      </c>
      <c r="P19" s="1" t="s">
        <v>49</v>
      </c>
      <c r="Q19" s="2" t="s">
        <v>33</v>
      </c>
      <c r="R19" s="2" t="s">
        <v>34</v>
      </c>
      <c r="S19" s="2">
        <f t="shared" si="0"/>
        <v>1997</v>
      </c>
      <c r="T19" s="2" t="str">
        <f t="shared" si="1"/>
        <v>Oct</v>
      </c>
    </row>
    <row r="20" spans="1:20" x14ac:dyDescent="0.3">
      <c r="A20" s="1" t="s">
        <v>101</v>
      </c>
      <c r="B20" s="1" t="s">
        <v>52</v>
      </c>
      <c r="C20" s="1" t="s">
        <v>22</v>
      </c>
      <c r="D20" s="4">
        <v>41597</v>
      </c>
      <c r="E20" s="1" t="s">
        <v>23</v>
      </c>
      <c r="F20" s="4">
        <v>25983</v>
      </c>
      <c r="G20" s="1" t="s">
        <v>24</v>
      </c>
      <c r="H20" s="1" t="s">
        <v>53</v>
      </c>
      <c r="I20" s="1" t="s">
        <v>26</v>
      </c>
      <c r="J20" s="1" t="s">
        <v>27</v>
      </c>
      <c r="K20" s="4" t="s">
        <v>28</v>
      </c>
      <c r="L20" s="1" t="s">
        <v>54</v>
      </c>
      <c r="M20" s="1" t="s">
        <v>102</v>
      </c>
      <c r="N20" s="1" t="s">
        <v>56</v>
      </c>
      <c r="O20" s="1" t="s">
        <v>57</v>
      </c>
      <c r="P20" s="1" t="s">
        <v>49</v>
      </c>
      <c r="Q20" s="2" t="s">
        <v>96</v>
      </c>
      <c r="R20" s="2" t="s">
        <v>83</v>
      </c>
      <c r="S20" s="2">
        <f t="shared" si="0"/>
        <v>2013</v>
      </c>
      <c r="T20" s="2" t="str">
        <f t="shared" si="1"/>
        <v>Nov</v>
      </c>
    </row>
    <row r="21" spans="1:20" x14ac:dyDescent="0.3">
      <c r="A21" s="1" t="s">
        <v>52</v>
      </c>
      <c r="B21" s="1" t="s">
        <v>20</v>
      </c>
      <c r="C21" s="1" t="s">
        <v>22</v>
      </c>
      <c r="D21" s="4">
        <v>35767</v>
      </c>
      <c r="E21" s="1" t="s">
        <v>23</v>
      </c>
      <c r="F21" s="4">
        <v>24282</v>
      </c>
      <c r="G21" s="1" t="s">
        <v>24</v>
      </c>
      <c r="H21" s="1" t="s">
        <v>103</v>
      </c>
      <c r="I21" s="1" t="s">
        <v>26</v>
      </c>
      <c r="J21" s="1" t="s">
        <v>27</v>
      </c>
      <c r="K21" s="4" t="s">
        <v>28</v>
      </c>
      <c r="L21" s="1" t="s">
        <v>38</v>
      </c>
      <c r="M21" s="1" t="s">
        <v>56</v>
      </c>
      <c r="N21" s="1" t="s">
        <v>30</v>
      </c>
      <c r="O21" s="1" t="s">
        <v>104</v>
      </c>
      <c r="P21" s="1" t="s">
        <v>32</v>
      </c>
      <c r="Q21" s="2" t="s">
        <v>96</v>
      </c>
      <c r="R21" s="2" t="s">
        <v>34</v>
      </c>
      <c r="S21" s="2">
        <f t="shared" si="0"/>
        <v>1997</v>
      </c>
      <c r="T21" s="2" t="str">
        <f t="shared" si="1"/>
        <v>Dec</v>
      </c>
    </row>
    <row r="22" spans="1:20" x14ac:dyDescent="0.3">
      <c r="A22" s="1" t="s">
        <v>105</v>
      </c>
      <c r="B22" s="1" t="s">
        <v>20</v>
      </c>
      <c r="C22" s="1" t="s">
        <v>22</v>
      </c>
      <c r="D22" s="4">
        <v>34943</v>
      </c>
      <c r="E22" s="1" t="s">
        <v>23</v>
      </c>
      <c r="F22" s="4">
        <v>25352</v>
      </c>
      <c r="G22" s="1" t="s">
        <v>24</v>
      </c>
      <c r="H22" s="1" t="s">
        <v>103</v>
      </c>
      <c r="I22" s="1" t="s">
        <v>26</v>
      </c>
      <c r="J22" s="1" t="s">
        <v>27</v>
      </c>
      <c r="K22" s="4" t="s">
        <v>28</v>
      </c>
      <c r="L22" s="1" t="s">
        <v>38</v>
      </c>
      <c r="M22" s="1" t="s">
        <v>106</v>
      </c>
      <c r="N22" s="1" t="s">
        <v>30</v>
      </c>
      <c r="O22" s="1" t="s">
        <v>104</v>
      </c>
      <c r="P22" s="1" t="s">
        <v>32</v>
      </c>
      <c r="Q22" s="2" t="s">
        <v>96</v>
      </c>
      <c r="R22" s="2" t="s">
        <v>34</v>
      </c>
      <c r="S22" s="2">
        <f t="shared" si="0"/>
        <v>1995</v>
      </c>
      <c r="T22" s="2" t="str">
        <f t="shared" si="1"/>
        <v>Sep</v>
      </c>
    </row>
    <row r="23" spans="1:20" x14ac:dyDescent="0.3">
      <c r="A23" s="1" t="s">
        <v>107</v>
      </c>
      <c r="B23" s="1" t="s">
        <v>52</v>
      </c>
      <c r="C23" s="1" t="s">
        <v>22</v>
      </c>
      <c r="D23" s="4">
        <v>38891</v>
      </c>
      <c r="E23" s="1" t="s">
        <v>23</v>
      </c>
      <c r="F23" s="4">
        <v>29529</v>
      </c>
      <c r="G23" s="1" t="s">
        <v>24</v>
      </c>
      <c r="H23" s="1" t="s">
        <v>87</v>
      </c>
      <c r="I23" s="1" t="s">
        <v>26</v>
      </c>
      <c r="J23" s="1" t="s">
        <v>27</v>
      </c>
      <c r="K23" s="4" t="s">
        <v>28</v>
      </c>
      <c r="L23" s="1" t="s">
        <v>54</v>
      </c>
      <c r="M23" s="1" t="s">
        <v>108</v>
      </c>
      <c r="N23" s="1" t="s">
        <v>56</v>
      </c>
      <c r="O23" s="1" t="s">
        <v>89</v>
      </c>
      <c r="P23" s="1" t="s">
        <v>49</v>
      </c>
      <c r="Q23" s="2" t="s">
        <v>50</v>
      </c>
      <c r="R23" s="2" t="s">
        <v>34</v>
      </c>
      <c r="S23" s="2">
        <f t="shared" si="0"/>
        <v>2006</v>
      </c>
      <c r="T23" s="2" t="str">
        <f t="shared" si="1"/>
        <v>Jun</v>
      </c>
    </row>
    <row r="24" spans="1:20" x14ac:dyDescent="0.3">
      <c r="A24" s="1" t="s">
        <v>109</v>
      </c>
      <c r="B24" s="1" t="s">
        <v>52</v>
      </c>
      <c r="C24" s="1" t="s">
        <v>22</v>
      </c>
      <c r="D24" s="4">
        <v>38178</v>
      </c>
      <c r="E24" s="1" t="s">
        <v>23</v>
      </c>
      <c r="F24" s="4">
        <v>21680</v>
      </c>
      <c r="G24" s="1" t="s">
        <v>24</v>
      </c>
      <c r="H24" s="1" t="s">
        <v>53</v>
      </c>
      <c r="I24" s="1" t="s">
        <v>26</v>
      </c>
      <c r="J24" s="1" t="s">
        <v>27</v>
      </c>
      <c r="K24" s="4" t="s">
        <v>28</v>
      </c>
      <c r="L24" s="1" t="s">
        <v>54</v>
      </c>
      <c r="M24" s="1" t="s">
        <v>110</v>
      </c>
      <c r="N24" s="1" t="s">
        <v>56</v>
      </c>
      <c r="O24" s="1" t="s">
        <v>57</v>
      </c>
      <c r="P24" s="1" t="s">
        <v>49</v>
      </c>
      <c r="Q24" s="2" t="s">
        <v>33</v>
      </c>
      <c r="R24" s="2" t="s">
        <v>34</v>
      </c>
      <c r="S24" s="2">
        <f t="shared" si="0"/>
        <v>2004</v>
      </c>
      <c r="T24" s="2" t="str">
        <f t="shared" si="1"/>
        <v>Jul</v>
      </c>
    </row>
    <row r="25" spans="1:20" x14ac:dyDescent="0.3">
      <c r="A25" s="1" t="s">
        <v>111</v>
      </c>
      <c r="B25" s="1" t="s">
        <v>52</v>
      </c>
      <c r="C25" s="1" t="s">
        <v>22</v>
      </c>
      <c r="D25" s="4">
        <v>37384</v>
      </c>
      <c r="E25" s="1" t="s">
        <v>23</v>
      </c>
      <c r="F25" s="4">
        <v>23520</v>
      </c>
      <c r="G25" s="1" t="s">
        <v>24</v>
      </c>
      <c r="H25" s="1" t="s">
        <v>53</v>
      </c>
      <c r="I25" s="1" t="s">
        <v>26</v>
      </c>
      <c r="J25" s="1" t="s">
        <v>27</v>
      </c>
      <c r="K25" s="4" t="s">
        <v>28</v>
      </c>
      <c r="L25" s="1" t="s">
        <v>54</v>
      </c>
      <c r="M25" s="1" t="s">
        <v>112</v>
      </c>
      <c r="N25" s="1" t="s">
        <v>56</v>
      </c>
      <c r="O25" s="1" t="s">
        <v>57</v>
      </c>
      <c r="P25" s="1" t="s">
        <v>49</v>
      </c>
      <c r="Q25" s="2" t="s">
        <v>33</v>
      </c>
      <c r="R25" s="2" t="s">
        <v>34</v>
      </c>
      <c r="S25" s="2">
        <f t="shared" si="0"/>
        <v>2002</v>
      </c>
      <c r="T25" s="2" t="str">
        <f t="shared" si="1"/>
        <v>May</v>
      </c>
    </row>
    <row r="26" spans="1:20" x14ac:dyDescent="0.3">
      <c r="A26" s="1" t="s">
        <v>113</v>
      </c>
      <c r="B26" s="1" t="s">
        <v>79</v>
      </c>
      <c r="C26" s="1" t="s">
        <v>22</v>
      </c>
      <c r="D26" s="4">
        <v>36089</v>
      </c>
      <c r="E26" s="1" t="s">
        <v>23</v>
      </c>
      <c r="F26" s="4">
        <v>24266</v>
      </c>
      <c r="G26" s="1" t="s">
        <v>24</v>
      </c>
      <c r="H26" s="1" t="s">
        <v>53</v>
      </c>
      <c r="I26" s="1" t="s">
        <v>26</v>
      </c>
      <c r="J26" s="1" t="s">
        <v>27</v>
      </c>
      <c r="K26" s="4" t="s">
        <v>28</v>
      </c>
      <c r="L26" s="1" t="s">
        <v>80</v>
      </c>
      <c r="M26" s="1" t="s">
        <v>114</v>
      </c>
      <c r="N26" s="1" t="s">
        <v>82</v>
      </c>
      <c r="O26" s="1" t="s">
        <v>57</v>
      </c>
      <c r="P26" s="1" t="s">
        <v>49</v>
      </c>
      <c r="Q26" s="2" t="s">
        <v>96</v>
      </c>
      <c r="R26" s="2" t="s">
        <v>34</v>
      </c>
      <c r="S26" s="2">
        <f t="shared" si="0"/>
        <v>1998</v>
      </c>
      <c r="T26" s="2" t="str">
        <f t="shared" si="1"/>
        <v>Oct</v>
      </c>
    </row>
    <row r="27" spans="1:20" x14ac:dyDescent="0.3">
      <c r="A27" s="1" t="s">
        <v>115</v>
      </c>
      <c r="B27" s="1" t="s">
        <v>35</v>
      </c>
      <c r="C27" s="1" t="s">
        <v>22</v>
      </c>
      <c r="D27" s="4">
        <v>36470</v>
      </c>
      <c r="E27" s="1" t="s">
        <v>23</v>
      </c>
      <c r="F27" s="4">
        <v>25715</v>
      </c>
      <c r="G27" s="1" t="s">
        <v>24</v>
      </c>
      <c r="H27" s="1" t="s">
        <v>103</v>
      </c>
      <c r="I27" s="1" t="s">
        <v>26</v>
      </c>
      <c r="J27" s="1" t="s">
        <v>27</v>
      </c>
      <c r="K27" s="4" t="s">
        <v>28</v>
      </c>
      <c r="L27" s="1" t="s">
        <v>38</v>
      </c>
      <c r="M27" s="1" t="s">
        <v>116</v>
      </c>
      <c r="N27" s="1" t="s">
        <v>39</v>
      </c>
      <c r="O27" s="1" t="s">
        <v>104</v>
      </c>
      <c r="P27" s="1" t="s">
        <v>32</v>
      </c>
      <c r="Q27" s="2" t="s">
        <v>96</v>
      </c>
      <c r="R27" s="2" t="s">
        <v>34</v>
      </c>
      <c r="S27" s="2">
        <f t="shared" si="0"/>
        <v>1999</v>
      </c>
      <c r="T27" s="2" t="str">
        <f t="shared" si="1"/>
        <v>Nov</v>
      </c>
    </row>
    <row r="28" spans="1:20" x14ac:dyDescent="0.3">
      <c r="A28" s="1" t="s">
        <v>117</v>
      </c>
      <c r="B28" s="1" t="s">
        <v>20</v>
      </c>
      <c r="C28" s="1" t="s">
        <v>22</v>
      </c>
      <c r="D28" s="4">
        <v>36575</v>
      </c>
      <c r="E28" s="1" t="s">
        <v>23</v>
      </c>
      <c r="F28" s="4">
        <v>27654</v>
      </c>
      <c r="G28" s="1" t="s">
        <v>24</v>
      </c>
      <c r="H28" s="1" t="s">
        <v>103</v>
      </c>
      <c r="I28" s="1" t="s">
        <v>26</v>
      </c>
      <c r="J28" s="1" t="s">
        <v>27</v>
      </c>
      <c r="K28" s="4" t="s">
        <v>28</v>
      </c>
      <c r="L28" s="1" t="s">
        <v>38</v>
      </c>
      <c r="M28" s="1" t="s">
        <v>118</v>
      </c>
      <c r="N28" s="1" t="s">
        <v>30</v>
      </c>
      <c r="O28" s="1" t="s">
        <v>104</v>
      </c>
      <c r="P28" s="1" t="s">
        <v>32</v>
      </c>
      <c r="Q28" s="2" t="s">
        <v>58</v>
      </c>
      <c r="R28" s="2" t="s">
        <v>34</v>
      </c>
      <c r="S28" s="2">
        <f t="shared" si="0"/>
        <v>2000</v>
      </c>
      <c r="T28" s="2" t="str">
        <f t="shared" si="1"/>
        <v>Feb</v>
      </c>
    </row>
    <row r="29" spans="1:20" x14ac:dyDescent="0.3">
      <c r="A29" s="1" t="s">
        <v>119</v>
      </c>
      <c r="B29" s="1" t="s">
        <v>20</v>
      </c>
      <c r="C29" s="1" t="s">
        <v>22</v>
      </c>
      <c r="D29" s="4">
        <v>36897</v>
      </c>
      <c r="E29" s="1" t="s">
        <v>23</v>
      </c>
      <c r="F29" s="4">
        <v>28558</v>
      </c>
      <c r="G29" s="1" t="s">
        <v>24</v>
      </c>
      <c r="H29" s="1" t="s">
        <v>103</v>
      </c>
      <c r="I29" s="1" t="s">
        <v>26</v>
      </c>
      <c r="J29" s="1" t="s">
        <v>27</v>
      </c>
      <c r="K29" s="4" t="s">
        <v>28</v>
      </c>
      <c r="L29" s="1" t="s">
        <v>38</v>
      </c>
      <c r="M29" s="1" t="s">
        <v>120</v>
      </c>
      <c r="N29" s="1" t="s">
        <v>30</v>
      </c>
      <c r="O29" s="1" t="s">
        <v>104</v>
      </c>
      <c r="P29" s="1" t="s">
        <v>32</v>
      </c>
      <c r="Q29" s="2" t="s">
        <v>50</v>
      </c>
      <c r="R29" s="2" t="s">
        <v>34</v>
      </c>
      <c r="S29" s="2">
        <f t="shared" si="0"/>
        <v>2001</v>
      </c>
      <c r="T29" s="2" t="str">
        <f t="shared" si="1"/>
        <v>Jan</v>
      </c>
    </row>
    <row r="30" spans="1:20" x14ac:dyDescent="0.3">
      <c r="A30" s="1" t="s">
        <v>121</v>
      </c>
      <c r="B30" s="1" t="s">
        <v>79</v>
      </c>
      <c r="C30" s="1" t="s">
        <v>22</v>
      </c>
      <c r="D30" s="4">
        <v>36921</v>
      </c>
      <c r="E30" s="1" t="s">
        <v>23</v>
      </c>
      <c r="F30" s="4">
        <v>24830</v>
      </c>
      <c r="G30" s="1" t="s">
        <v>24</v>
      </c>
      <c r="H30" s="1" t="s">
        <v>53</v>
      </c>
      <c r="I30" s="1" t="s">
        <v>26</v>
      </c>
      <c r="J30" s="1" t="s">
        <v>27</v>
      </c>
      <c r="K30" s="4" t="s">
        <v>28</v>
      </c>
      <c r="L30" s="1" t="s">
        <v>80</v>
      </c>
      <c r="M30" s="1" t="s">
        <v>122</v>
      </c>
      <c r="N30" s="1" t="s">
        <v>82</v>
      </c>
      <c r="O30" s="1" t="s">
        <v>57</v>
      </c>
      <c r="P30" s="1" t="s">
        <v>49</v>
      </c>
      <c r="Q30" s="2" t="s">
        <v>96</v>
      </c>
      <c r="R30" s="2" t="s">
        <v>34</v>
      </c>
      <c r="S30" s="2">
        <f t="shared" si="0"/>
        <v>2001</v>
      </c>
      <c r="T30" s="2" t="str">
        <f t="shared" si="1"/>
        <v>Jan</v>
      </c>
    </row>
    <row r="31" spans="1:20" x14ac:dyDescent="0.3">
      <c r="A31" s="1" t="s">
        <v>123</v>
      </c>
      <c r="B31" s="1" t="s">
        <v>79</v>
      </c>
      <c r="C31" s="1" t="s">
        <v>22</v>
      </c>
      <c r="D31" s="4">
        <v>37062</v>
      </c>
      <c r="E31" s="1" t="s">
        <v>23</v>
      </c>
      <c r="F31" s="4">
        <v>24069</v>
      </c>
      <c r="G31" s="1" t="s">
        <v>24</v>
      </c>
      <c r="H31" s="1" t="s">
        <v>53</v>
      </c>
      <c r="I31" s="1" t="s">
        <v>26</v>
      </c>
      <c r="J31" s="1" t="s">
        <v>27</v>
      </c>
      <c r="K31" s="4" t="s">
        <v>28</v>
      </c>
      <c r="L31" s="1" t="s">
        <v>80</v>
      </c>
      <c r="M31" s="1" t="s">
        <v>124</v>
      </c>
      <c r="N31" s="1" t="s">
        <v>82</v>
      </c>
      <c r="O31" s="1" t="s">
        <v>57</v>
      </c>
      <c r="P31" s="1" t="s">
        <v>49</v>
      </c>
      <c r="Q31" s="2" t="s">
        <v>33</v>
      </c>
      <c r="R31" s="2" t="s">
        <v>34</v>
      </c>
      <c r="S31" s="2">
        <f t="shared" si="0"/>
        <v>2001</v>
      </c>
      <c r="T31" s="2" t="str">
        <f t="shared" si="1"/>
        <v>Jun</v>
      </c>
    </row>
    <row r="32" spans="1:20" x14ac:dyDescent="0.3">
      <c r="A32" s="1" t="s">
        <v>125</v>
      </c>
      <c r="B32" s="1" t="s">
        <v>35</v>
      </c>
      <c r="C32" s="1" t="s">
        <v>22</v>
      </c>
      <c r="D32" s="4">
        <v>37496</v>
      </c>
      <c r="E32" s="1" t="s">
        <v>23</v>
      </c>
      <c r="F32" s="4">
        <v>22789</v>
      </c>
      <c r="G32" s="1" t="s">
        <v>24</v>
      </c>
      <c r="H32" s="1" t="s">
        <v>126</v>
      </c>
      <c r="I32" s="1" t="s">
        <v>26</v>
      </c>
      <c r="J32" s="1" t="s">
        <v>27</v>
      </c>
      <c r="K32" s="4" t="s">
        <v>28</v>
      </c>
      <c r="L32" s="1" t="s">
        <v>29</v>
      </c>
      <c r="M32" s="1" t="s">
        <v>127</v>
      </c>
      <c r="N32" s="1" t="s">
        <v>39</v>
      </c>
      <c r="O32" s="1" t="s">
        <v>57</v>
      </c>
      <c r="P32" s="1" t="s">
        <v>49</v>
      </c>
      <c r="Q32" s="2" t="s">
        <v>33</v>
      </c>
      <c r="R32" s="2" t="s">
        <v>34</v>
      </c>
      <c r="S32" s="2">
        <f t="shared" si="0"/>
        <v>2002</v>
      </c>
      <c r="T32" s="2" t="str">
        <f t="shared" si="1"/>
        <v>Aug</v>
      </c>
    </row>
    <row r="33" spans="1:20" x14ac:dyDescent="0.3">
      <c r="A33" s="1" t="s">
        <v>128</v>
      </c>
      <c r="B33" s="1" t="s">
        <v>79</v>
      </c>
      <c r="C33" s="1" t="s">
        <v>22</v>
      </c>
      <c r="D33" s="4">
        <v>38054</v>
      </c>
      <c r="E33" s="1" t="s">
        <v>23</v>
      </c>
      <c r="F33" s="4">
        <v>25339</v>
      </c>
      <c r="G33" s="1" t="s">
        <v>24</v>
      </c>
      <c r="H33" s="1" t="s">
        <v>87</v>
      </c>
      <c r="I33" s="1" t="s">
        <v>26</v>
      </c>
      <c r="J33" s="1" t="s">
        <v>27</v>
      </c>
      <c r="K33" s="4" t="s">
        <v>28</v>
      </c>
      <c r="L33" s="1" t="s">
        <v>54</v>
      </c>
      <c r="M33" s="1" t="s">
        <v>129</v>
      </c>
      <c r="N33" s="1" t="s">
        <v>82</v>
      </c>
      <c r="O33" s="1" t="s">
        <v>89</v>
      </c>
      <c r="P33" s="1" t="s">
        <v>49</v>
      </c>
      <c r="Q33" s="2" t="s">
        <v>96</v>
      </c>
      <c r="R33" s="2" t="s">
        <v>34</v>
      </c>
      <c r="S33" s="2">
        <f t="shared" si="0"/>
        <v>2004</v>
      </c>
      <c r="T33" s="2" t="str">
        <f t="shared" si="1"/>
        <v>Mar</v>
      </c>
    </row>
    <row r="34" spans="1:20" x14ac:dyDescent="0.3">
      <c r="A34" s="1" t="s">
        <v>79</v>
      </c>
      <c r="B34" s="1" t="s">
        <v>20</v>
      </c>
      <c r="C34" s="1" t="s">
        <v>22</v>
      </c>
      <c r="D34" s="4">
        <v>38178</v>
      </c>
      <c r="E34" s="1" t="s">
        <v>23</v>
      </c>
      <c r="F34" s="4">
        <v>26949</v>
      </c>
      <c r="G34" s="1" t="s">
        <v>24</v>
      </c>
      <c r="H34" s="1" t="s">
        <v>93</v>
      </c>
      <c r="I34" s="1" t="s">
        <v>26</v>
      </c>
      <c r="J34" s="1" t="s">
        <v>27</v>
      </c>
      <c r="K34" s="4" t="s">
        <v>28</v>
      </c>
      <c r="L34" s="1" t="s">
        <v>80</v>
      </c>
      <c r="M34" s="1" t="s">
        <v>82</v>
      </c>
      <c r="N34" s="1" t="s">
        <v>30</v>
      </c>
      <c r="O34" s="1" t="s">
        <v>95</v>
      </c>
      <c r="P34" s="1" t="s">
        <v>32</v>
      </c>
      <c r="Q34" s="2" t="s">
        <v>58</v>
      </c>
      <c r="R34" s="2" t="s">
        <v>34</v>
      </c>
      <c r="S34" s="2">
        <f t="shared" si="0"/>
        <v>2004</v>
      </c>
      <c r="T34" s="2" t="str">
        <f t="shared" si="1"/>
        <v>Jul</v>
      </c>
    </row>
    <row r="35" spans="1:20" x14ac:dyDescent="0.3">
      <c r="A35" s="1" t="s">
        <v>130</v>
      </c>
      <c r="B35" s="1" t="s">
        <v>79</v>
      </c>
      <c r="C35" s="1" t="s">
        <v>22</v>
      </c>
      <c r="D35" s="4">
        <v>38261</v>
      </c>
      <c r="E35" s="1" t="s">
        <v>23</v>
      </c>
      <c r="F35" s="4">
        <v>28976</v>
      </c>
      <c r="G35" s="1" t="s">
        <v>24</v>
      </c>
      <c r="H35" s="1" t="s">
        <v>53</v>
      </c>
      <c r="I35" s="1" t="s">
        <v>26</v>
      </c>
      <c r="J35" s="1" t="s">
        <v>27</v>
      </c>
      <c r="K35" s="4" t="s">
        <v>28</v>
      </c>
      <c r="L35" s="1" t="s">
        <v>80</v>
      </c>
      <c r="M35" s="1" t="s">
        <v>131</v>
      </c>
      <c r="N35" s="1" t="s">
        <v>82</v>
      </c>
      <c r="O35" s="1" t="s">
        <v>57</v>
      </c>
      <c r="P35" s="1" t="s">
        <v>49</v>
      </c>
      <c r="Q35" s="2" t="s">
        <v>50</v>
      </c>
      <c r="R35" s="2" t="s">
        <v>34</v>
      </c>
      <c r="S35" s="2">
        <f t="shared" si="0"/>
        <v>2004</v>
      </c>
      <c r="T35" s="2" t="str">
        <f t="shared" si="1"/>
        <v>Oct</v>
      </c>
    </row>
    <row r="36" spans="1:20" x14ac:dyDescent="0.3">
      <c r="A36" s="1" t="s">
        <v>132</v>
      </c>
      <c r="B36" s="1" t="s">
        <v>35</v>
      </c>
      <c r="C36" s="1" t="s">
        <v>22</v>
      </c>
      <c r="D36" s="4">
        <v>38519</v>
      </c>
      <c r="E36" s="1" t="s">
        <v>23</v>
      </c>
      <c r="F36" s="4">
        <v>29736</v>
      </c>
      <c r="G36" s="1" t="s">
        <v>24</v>
      </c>
      <c r="H36" s="1" t="s">
        <v>45</v>
      </c>
      <c r="I36" s="1" t="s">
        <v>26</v>
      </c>
      <c r="J36" s="1" t="s">
        <v>27</v>
      </c>
      <c r="K36" s="4" t="s">
        <v>28</v>
      </c>
      <c r="L36" s="1" t="s">
        <v>29</v>
      </c>
      <c r="M36" s="1" t="s">
        <v>133</v>
      </c>
      <c r="N36" s="1" t="s">
        <v>39</v>
      </c>
      <c r="O36" s="1" t="s">
        <v>48</v>
      </c>
      <c r="P36" s="1" t="s">
        <v>49</v>
      </c>
      <c r="Q36" s="2" t="s">
        <v>61</v>
      </c>
      <c r="R36" s="2" t="s">
        <v>34</v>
      </c>
      <c r="S36" s="2">
        <f t="shared" si="0"/>
        <v>2005</v>
      </c>
      <c r="T36" s="2" t="str">
        <f t="shared" si="1"/>
        <v>Jun</v>
      </c>
    </row>
    <row r="37" spans="1:20" x14ac:dyDescent="0.3">
      <c r="A37" s="1" t="s">
        <v>134</v>
      </c>
      <c r="B37" s="1" t="s">
        <v>119</v>
      </c>
      <c r="C37" s="1" t="s">
        <v>22</v>
      </c>
      <c r="D37" s="4">
        <v>38881</v>
      </c>
      <c r="E37" s="1" t="s">
        <v>23</v>
      </c>
      <c r="F37" s="4">
        <v>30464</v>
      </c>
      <c r="G37" s="1" t="s">
        <v>24</v>
      </c>
      <c r="H37" s="1" t="s">
        <v>93</v>
      </c>
      <c r="I37" s="1" t="s">
        <v>26</v>
      </c>
      <c r="J37" s="1" t="s">
        <v>27</v>
      </c>
      <c r="K37" s="4" t="s">
        <v>28</v>
      </c>
      <c r="L37" s="1" t="s">
        <v>38</v>
      </c>
      <c r="M37" s="1" t="s">
        <v>135</v>
      </c>
      <c r="N37" s="1" t="s">
        <v>120</v>
      </c>
      <c r="O37" s="1" t="s">
        <v>95</v>
      </c>
      <c r="P37" s="1" t="s">
        <v>32</v>
      </c>
      <c r="Q37" s="2" t="s">
        <v>61</v>
      </c>
      <c r="R37" s="2" t="s">
        <v>34</v>
      </c>
      <c r="S37" s="2">
        <f t="shared" si="0"/>
        <v>2006</v>
      </c>
      <c r="T37" s="2" t="str">
        <f t="shared" si="1"/>
        <v>Jun</v>
      </c>
    </row>
    <row r="38" spans="1:20" x14ac:dyDescent="0.3">
      <c r="A38" s="1" t="s">
        <v>136</v>
      </c>
      <c r="B38" s="1" t="s">
        <v>137</v>
      </c>
      <c r="C38" s="1" t="s">
        <v>22</v>
      </c>
      <c r="D38" s="4">
        <v>38881</v>
      </c>
      <c r="E38" s="1" t="s">
        <v>23</v>
      </c>
      <c r="F38" s="4">
        <v>30465</v>
      </c>
      <c r="G38" s="1" t="s">
        <v>24</v>
      </c>
      <c r="H38" s="1" t="s">
        <v>45</v>
      </c>
      <c r="I38" s="1" t="s">
        <v>26</v>
      </c>
      <c r="J38" s="1" t="s">
        <v>27</v>
      </c>
      <c r="K38" s="4" t="s">
        <v>28</v>
      </c>
      <c r="L38" s="1" t="s">
        <v>38</v>
      </c>
      <c r="M38" s="1" t="s">
        <v>138</v>
      </c>
      <c r="N38" s="1" t="s">
        <v>139</v>
      </c>
      <c r="O38" s="1" t="s">
        <v>48</v>
      </c>
      <c r="P38" s="1" t="s">
        <v>49</v>
      </c>
      <c r="Q38" s="2" t="s">
        <v>61</v>
      </c>
      <c r="R38" s="2" t="s">
        <v>34</v>
      </c>
      <c r="S38" s="2">
        <f t="shared" si="0"/>
        <v>2006</v>
      </c>
      <c r="T38" s="2" t="str">
        <f t="shared" si="1"/>
        <v>Jun</v>
      </c>
    </row>
    <row r="39" spans="1:20" x14ac:dyDescent="0.3">
      <c r="A39" s="1" t="s">
        <v>140</v>
      </c>
      <c r="B39" s="1" t="s">
        <v>20</v>
      </c>
      <c r="C39" s="1" t="s">
        <v>22</v>
      </c>
      <c r="D39" s="4">
        <v>38992</v>
      </c>
      <c r="E39" s="1" t="s">
        <v>23</v>
      </c>
      <c r="F39" s="4">
        <v>28635</v>
      </c>
      <c r="G39" s="1" t="s">
        <v>24</v>
      </c>
      <c r="H39" s="1" t="s">
        <v>103</v>
      </c>
      <c r="I39" s="1" t="s">
        <v>26</v>
      </c>
      <c r="J39" s="1" t="s">
        <v>27</v>
      </c>
      <c r="K39" s="4" t="s">
        <v>28</v>
      </c>
      <c r="L39" s="1" t="s">
        <v>38</v>
      </c>
      <c r="M39" s="1" t="s">
        <v>141</v>
      </c>
      <c r="N39" s="1" t="s">
        <v>30</v>
      </c>
      <c r="O39" s="1" t="s">
        <v>104</v>
      </c>
      <c r="P39" s="1" t="s">
        <v>32</v>
      </c>
      <c r="Q39" s="2" t="s">
        <v>50</v>
      </c>
      <c r="R39" s="2" t="s">
        <v>34</v>
      </c>
      <c r="S39" s="2">
        <f t="shared" si="0"/>
        <v>2006</v>
      </c>
      <c r="T39" s="2" t="str">
        <f t="shared" si="1"/>
        <v>Oct</v>
      </c>
    </row>
    <row r="40" spans="1:20" x14ac:dyDescent="0.3">
      <c r="A40" s="1" t="s">
        <v>142</v>
      </c>
      <c r="B40" s="1" t="s">
        <v>79</v>
      </c>
      <c r="C40" s="1" t="s">
        <v>22</v>
      </c>
      <c r="D40" s="4">
        <v>38995</v>
      </c>
      <c r="E40" s="1" t="s">
        <v>23</v>
      </c>
      <c r="F40" s="4">
        <v>24473</v>
      </c>
      <c r="G40" s="1" t="s">
        <v>24</v>
      </c>
      <c r="H40" s="1" t="s">
        <v>53</v>
      </c>
      <c r="I40" s="1" t="s">
        <v>26</v>
      </c>
      <c r="J40" s="1" t="s">
        <v>27</v>
      </c>
      <c r="K40" s="4" t="s">
        <v>28</v>
      </c>
      <c r="L40" s="1" t="s">
        <v>80</v>
      </c>
      <c r="M40" s="1" t="s">
        <v>143</v>
      </c>
      <c r="N40" s="1" t="s">
        <v>82</v>
      </c>
      <c r="O40" s="1" t="s">
        <v>57</v>
      </c>
      <c r="P40" s="1" t="s">
        <v>49</v>
      </c>
      <c r="Q40" s="2" t="s">
        <v>96</v>
      </c>
      <c r="R40" s="2" t="s">
        <v>34</v>
      </c>
      <c r="S40" s="2">
        <f t="shared" si="0"/>
        <v>2006</v>
      </c>
      <c r="T40" s="2" t="str">
        <f t="shared" si="1"/>
        <v>Oct</v>
      </c>
    </row>
    <row r="41" spans="1:20" x14ac:dyDescent="0.3">
      <c r="A41" s="1" t="s">
        <v>144</v>
      </c>
      <c r="B41" s="1" t="s">
        <v>79</v>
      </c>
      <c r="C41" s="1" t="s">
        <v>22</v>
      </c>
      <c r="D41" s="4">
        <v>39029</v>
      </c>
      <c r="E41" s="1" t="s">
        <v>23</v>
      </c>
      <c r="F41" s="4">
        <v>23890</v>
      </c>
      <c r="G41" s="1" t="s">
        <v>24</v>
      </c>
      <c r="H41" s="1" t="s">
        <v>53</v>
      </c>
      <c r="I41" s="1" t="s">
        <v>26</v>
      </c>
      <c r="J41" s="1" t="s">
        <v>27</v>
      </c>
      <c r="K41" s="4" t="s">
        <v>28</v>
      </c>
      <c r="L41" s="1" t="s">
        <v>80</v>
      </c>
      <c r="M41" s="1" t="s">
        <v>145</v>
      </c>
      <c r="N41" s="1" t="s">
        <v>82</v>
      </c>
      <c r="O41" s="1" t="s">
        <v>57</v>
      </c>
      <c r="P41" s="1" t="s">
        <v>49</v>
      </c>
      <c r="Q41" s="2" t="s">
        <v>33</v>
      </c>
      <c r="R41" s="2" t="s">
        <v>34</v>
      </c>
      <c r="S41" s="2">
        <f t="shared" si="0"/>
        <v>2006</v>
      </c>
      <c r="T41" s="2" t="str">
        <f t="shared" si="1"/>
        <v>Nov</v>
      </c>
    </row>
    <row r="42" spans="1:20" x14ac:dyDescent="0.3">
      <c r="A42" s="1" t="s">
        <v>146</v>
      </c>
      <c r="B42" s="1" t="s">
        <v>79</v>
      </c>
      <c r="C42" s="1" t="s">
        <v>22</v>
      </c>
      <c r="D42" s="4">
        <v>39088</v>
      </c>
      <c r="E42" s="1" t="s">
        <v>23</v>
      </c>
      <c r="F42" s="4">
        <v>20548</v>
      </c>
      <c r="G42" s="1" t="s">
        <v>24</v>
      </c>
      <c r="H42" s="1" t="s">
        <v>53</v>
      </c>
      <c r="I42" s="1" t="s">
        <v>26</v>
      </c>
      <c r="J42" s="1" t="s">
        <v>27</v>
      </c>
      <c r="K42" s="4" t="s">
        <v>28</v>
      </c>
      <c r="L42" s="1" t="s">
        <v>80</v>
      </c>
      <c r="M42" s="1" t="s">
        <v>147</v>
      </c>
      <c r="N42" s="1" t="s">
        <v>82</v>
      </c>
      <c r="O42" s="1" t="s">
        <v>57</v>
      </c>
      <c r="P42" s="1" t="s">
        <v>49</v>
      </c>
      <c r="Q42" s="2" t="s">
        <v>33</v>
      </c>
      <c r="R42" s="2" t="s">
        <v>34</v>
      </c>
      <c r="S42" s="2">
        <f t="shared" si="0"/>
        <v>2007</v>
      </c>
      <c r="T42" s="2" t="str">
        <f t="shared" si="1"/>
        <v>Jan</v>
      </c>
    </row>
    <row r="43" spans="1:20" x14ac:dyDescent="0.3">
      <c r="A43" s="1" t="s">
        <v>148</v>
      </c>
      <c r="B43" s="1" t="s">
        <v>35</v>
      </c>
      <c r="C43" s="1" t="s">
        <v>22</v>
      </c>
      <c r="D43" s="4">
        <v>39146</v>
      </c>
      <c r="E43" s="1" t="s">
        <v>23</v>
      </c>
      <c r="F43" s="4">
        <v>26400</v>
      </c>
      <c r="G43" s="1" t="s">
        <v>24</v>
      </c>
      <c r="H43" s="1" t="s">
        <v>126</v>
      </c>
      <c r="I43" s="1" t="s">
        <v>26</v>
      </c>
      <c r="J43" s="1" t="s">
        <v>27</v>
      </c>
      <c r="K43" s="4" t="s">
        <v>28</v>
      </c>
      <c r="L43" s="1" t="s">
        <v>29</v>
      </c>
      <c r="M43" s="1" t="s">
        <v>149</v>
      </c>
      <c r="N43" s="1" t="s">
        <v>39</v>
      </c>
      <c r="O43" s="1" t="s">
        <v>57</v>
      </c>
      <c r="P43" s="1" t="s">
        <v>49</v>
      </c>
      <c r="Q43" s="2" t="s">
        <v>58</v>
      </c>
      <c r="R43" s="2" t="s">
        <v>34</v>
      </c>
      <c r="S43" s="2">
        <f t="shared" si="0"/>
        <v>2007</v>
      </c>
      <c r="T43" s="2" t="str">
        <f t="shared" si="1"/>
        <v>Mar</v>
      </c>
    </row>
    <row r="44" spans="1:20" x14ac:dyDescent="0.3">
      <c r="A44" s="1" t="s">
        <v>150</v>
      </c>
      <c r="B44" s="1" t="s">
        <v>151</v>
      </c>
      <c r="C44" s="1" t="s">
        <v>22</v>
      </c>
      <c r="D44" s="4">
        <v>39533</v>
      </c>
      <c r="E44" s="1" t="s">
        <v>23</v>
      </c>
      <c r="F44" s="4">
        <v>30426</v>
      </c>
      <c r="G44" s="1" t="s">
        <v>24</v>
      </c>
      <c r="H44" s="1" t="s">
        <v>45</v>
      </c>
      <c r="I44" s="1" t="s">
        <v>26</v>
      </c>
      <c r="J44" s="1" t="s">
        <v>27</v>
      </c>
      <c r="K44" s="4" t="s">
        <v>28</v>
      </c>
      <c r="L44" s="1" t="s">
        <v>152</v>
      </c>
      <c r="M44" s="1" t="s">
        <v>153</v>
      </c>
      <c r="N44" s="1" t="s">
        <v>154</v>
      </c>
      <c r="O44" s="1" t="s">
        <v>48</v>
      </c>
      <c r="P44" s="1" t="s">
        <v>49</v>
      </c>
      <c r="Q44" s="2" t="s">
        <v>61</v>
      </c>
      <c r="R44" s="2" t="s">
        <v>77</v>
      </c>
      <c r="S44" s="2">
        <f t="shared" si="0"/>
        <v>2008</v>
      </c>
      <c r="T44" s="2" t="str">
        <f t="shared" si="1"/>
        <v>Mar</v>
      </c>
    </row>
    <row r="45" spans="1:20" x14ac:dyDescent="0.3">
      <c r="A45" s="1" t="s">
        <v>155</v>
      </c>
      <c r="B45" s="1" t="s">
        <v>119</v>
      </c>
      <c r="C45" s="1" t="s">
        <v>22</v>
      </c>
      <c r="D45" s="4">
        <v>41270</v>
      </c>
      <c r="E45" s="1" t="s">
        <v>23</v>
      </c>
      <c r="F45" s="4">
        <v>31192</v>
      </c>
      <c r="G45" s="1" t="s">
        <v>24</v>
      </c>
      <c r="H45" s="1" t="s">
        <v>65</v>
      </c>
      <c r="I45" s="1" t="s">
        <v>26</v>
      </c>
      <c r="J45" s="1" t="s">
        <v>27</v>
      </c>
      <c r="K45" s="4" t="s">
        <v>28</v>
      </c>
      <c r="L45" s="1" t="s">
        <v>38</v>
      </c>
      <c r="M45" s="1" t="s">
        <v>156</v>
      </c>
      <c r="N45" s="1" t="s">
        <v>120</v>
      </c>
      <c r="O45" s="1" t="s">
        <v>67</v>
      </c>
      <c r="P45" s="1" t="s">
        <v>49</v>
      </c>
      <c r="Q45" s="2" t="s">
        <v>61</v>
      </c>
      <c r="R45" s="2" t="s">
        <v>83</v>
      </c>
      <c r="S45" s="2">
        <f t="shared" si="0"/>
        <v>2012</v>
      </c>
      <c r="T45" s="2" t="str">
        <f t="shared" si="1"/>
        <v>Dec</v>
      </c>
    </row>
    <row r="46" spans="1:20" x14ac:dyDescent="0.3">
      <c r="A46" s="1" t="s">
        <v>157</v>
      </c>
      <c r="B46" s="1" t="s">
        <v>158</v>
      </c>
      <c r="C46" s="1" t="s">
        <v>22</v>
      </c>
      <c r="D46" s="4">
        <v>39624</v>
      </c>
      <c r="E46" s="1" t="s">
        <v>23</v>
      </c>
      <c r="F46" s="4">
        <v>28080</v>
      </c>
      <c r="G46" s="1" t="s">
        <v>24</v>
      </c>
      <c r="H46" s="1" t="s">
        <v>159</v>
      </c>
      <c r="I46" s="1" t="s">
        <v>26</v>
      </c>
      <c r="J46" s="1" t="s">
        <v>27</v>
      </c>
      <c r="K46" s="4" t="s">
        <v>28</v>
      </c>
      <c r="L46" s="1" t="s">
        <v>38</v>
      </c>
      <c r="M46" s="1" t="s">
        <v>160</v>
      </c>
      <c r="N46" s="1" t="s">
        <v>161</v>
      </c>
      <c r="O46" s="1" t="s">
        <v>162</v>
      </c>
      <c r="P46" s="1" t="s">
        <v>49</v>
      </c>
      <c r="Q46" s="2" t="s">
        <v>50</v>
      </c>
      <c r="R46" s="2" t="s">
        <v>77</v>
      </c>
      <c r="S46" s="2">
        <f t="shared" si="0"/>
        <v>2008</v>
      </c>
      <c r="T46" s="2" t="str">
        <f t="shared" si="1"/>
        <v>Jun</v>
      </c>
    </row>
    <row r="47" spans="1:20" x14ac:dyDescent="0.3">
      <c r="A47" s="1" t="s">
        <v>163</v>
      </c>
      <c r="B47" s="1" t="s">
        <v>119</v>
      </c>
      <c r="C47" s="1" t="s">
        <v>22</v>
      </c>
      <c r="D47" s="4">
        <v>40385</v>
      </c>
      <c r="E47" s="1" t="s">
        <v>23</v>
      </c>
      <c r="F47" s="4">
        <v>30762</v>
      </c>
      <c r="G47" s="1" t="s">
        <v>24</v>
      </c>
      <c r="H47" s="1" t="s">
        <v>159</v>
      </c>
      <c r="I47" s="1" t="s">
        <v>26</v>
      </c>
      <c r="J47" s="1" t="s">
        <v>27</v>
      </c>
      <c r="K47" s="4" t="s">
        <v>28</v>
      </c>
      <c r="L47" s="1" t="s">
        <v>38</v>
      </c>
      <c r="M47" s="1" t="s">
        <v>164</v>
      </c>
      <c r="N47" s="1" t="s">
        <v>120</v>
      </c>
      <c r="O47" s="1" t="s">
        <v>162</v>
      </c>
      <c r="P47" s="1" t="s">
        <v>49</v>
      </c>
      <c r="Q47" s="2" t="s">
        <v>61</v>
      </c>
      <c r="R47" s="2" t="s">
        <v>77</v>
      </c>
      <c r="S47" s="2">
        <f t="shared" si="0"/>
        <v>2010</v>
      </c>
      <c r="T47" s="2" t="str">
        <f t="shared" si="1"/>
        <v>Jul</v>
      </c>
    </row>
    <row r="48" spans="1:20" x14ac:dyDescent="0.3">
      <c r="A48" s="1" t="s">
        <v>165</v>
      </c>
      <c r="B48" s="1" t="s">
        <v>79</v>
      </c>
      <c r="C48" s="1" t="s">
        <v>22</v>
      </c>
      <c r="D48" s="4">
        <v>39958</v>
      </c>
      <c r="E48" s="1" t="s">
        <v>23</v>
      </c>
      <c r="F48" s="4">
        <v>27979</v>
      </c>
      <c r="G48" s="1" t="s">
        <v>24</v>
      </c>
      <c r="H48" s="1" t="s">
        <v>53</v>
      </c>
      <c r="I48" s="1" t="s">
        <v>26</v>
      </c>
      <c r="J48" s="1" t="s">
        <v>27</v>
      </c>
      <c r="K48" s="4" t="s">
        <v>28</v>
      </c>
      <c r="L48" s="1" t="s">
        <v>80</v>
      </c>
      <c r="M48" s="1" t="s">
        <v>166</v>
      </c>
      <c r="N48" s="1" t="s">
        <v>82</v>
      </c>
      <c r="O48" s="1" t="s">
        <v>57</v>
      </c>
      <c r="P48" s="1" t="s">
        <v>49</v>
      </c>
      <c r="Q48" s="2" t="s">
        <v>50</v>
      </c>
      <c r="R48" s="2" t="s">
        <v>77</v>
      </c>
      <c r="S48" s="2">
        <f t="shared" si="0"/>
        <v>2009</v>
      </c>
      <c r="T48" s="2" t="str">
        <f t="shared" si="1"/>
        <v>May</v>
      </c>
    </row>
    <row r="49" spans="1:20" x14ac:dyDescent="0.3">
      <c r="A49" s="1" t="s">
        <v>167</v>
      </c>
      <c r="B49" s="1" t="s">
        <v>119</v>
      </c>
      <c r="C49" s="1" t="s">
        <v>22</v>
      </c>
      <c r="D49" s="4">
        <v>42702</v>
      </c>
      <c r="E49" s="1" t="s">
        <v>23</v>
      </c>
      <c r="F49" s="4">
        <v>30448</v>
      </c>
      <c r="G49" s="1" t="s">
        <v>24</v>
      </c>
      <c r="H49" s="1" t="s">
        <v>65</v>
      </c>
      <c r="I49" s="1" t="s">
        <v>26</v>
      </c>
      <c r="J49" s="1" t="s">
        <v>27</v>
      </c>
      <c r="K49" s="4" t="s">
        <v>28</v>
      </c>
      <c r="L49" s="1" t="s">
        <v>38</v>
      </c>
      <c r="M49" s="1" t="s">
        <v>168</v>
      </c>
      <c r="N49" s="1" t="s">
        <v>120</v>
      </c>
      <c r="O49" s="1" t="s">
        <v>67</v>
      </c>
      <c r="P49" s="1" t="s">
        <v>32</v>
      </c>
      <c r="Q49" s="2" t="s">
        <v>61</v>
      </c>
      <c r="R49" s="2" t="s">
        <v>169</v>
      </c>
      <c r="S49" s="2">
        <f t="shared" si="0"/>
        <v>2016</v>
      </c>
      <c r="T49" s="2" t="str">
        <f t="shared" si="1"/>
        <v>Nov</v>
      </c>
    </row>
    <row r="50" spans="1:20" x14ac:dyDescent="0.3">
      <c r="A50" s="1" t="s">
        <v>170</v>
      </c>
      <c r="B50" s="1" t="s">
        <v>79</v>
      </c>
      <c r="C50" s="1" t="s">
        <v>22</v>
      </c>
      <c r="D50" s="4">
        <v>41460</v>
      </c>
      <c r="E50" s="1" t="s">
        <v>23</v>
      </c>
      <c r="F50" s="4">
        <v>22131</v>
      </c>
      <c r="G50" s="1" t="s">
        <v>24</v>
      </c>
      <c r="H50" s="1" t="s">
        <v>53</v>
      </c>
      <c r="I50" s="1" t="s">
        <v>26</v>
      </c>
      <c r="J50" s="1" t="s">
        <v>27</v>
      </c>
      <c r="K50" s="4" t="s">
        <v>28</v>
      </c>
      <c r="L50" s="1" t="s">
        <v>80</v>
      </c>
      <c r="M50" s="1" t="s">
        <v>171</v>
      </c>
      <c r="N50" s="1" t="s">
        <v>82</v>
      </c>
      <c r="O50" s="1" t="s">
        <v>57</v>
      </c>
      <c r="P50" s="1" t="s">
        <v>49</v>
      </c>
      <c r="Q50" s="2" t="s">
        <v>33</v>
      </c>
      <c r="R50" s="2" t="s">
        <v>83</v>
      </c>
      <c r="S50" s="2">
        <f t="shared" si="0"/>
        <v>2013</v>
      </c>
      <c r="T50" s="2" t="str">
        <f t="shared" si="1"/>
        <v>Jul</v>
      </c>
    </row>
    <row r="51" spans="1:20" x14ac:dyDescent="0.3">
      <c r="A51" s="1" t="s">
        <v>172</v>
      </c>
      <c r="B51" s="1" t="s">
        <v>79</v>
      </c>
      <c r="C51" s="1" t="s">
        <v>22</v>
      </c>
      <c r="D51" s="4">
        <v>40498</v>
      </c>
      <c r="E51" s="1" t="s">
        <v>23</v>
      </c>
      <c r="F51" s="4">
        <v>27485</v>
      </c>
      <c r="G51" s="1" t="s">
        <v>24</v>
      </c>
      <c r="H51" s="1" t="s">
        <v>53</v>
      </c>
      <c r="I51" s="1" t="s">
        <v>26</v>
      </c>
      <c r="J51" s="1" t="s">
        <v>27</v>
      </c>
      <c r="K51" s="4" t="s">
        <v>28</v>
      </c>
      <c r="L51" s="1" t="s">
        <v>80</v>
      </c>
      <c r="M51" s="1" t="s">
        <v>173</v>
      </c>
      <c r="N51" s="1" t="s">
        <v>82</v>
      </c>
      <c r="O51" s="1" t="s">
        <v>57</v>
      </c>
      <c r="P51" s="1" t="s">
        <v>49</v>
      </c>
      <c r="Q51" s="2" t="s">
        <v>58</v>
      </c>
      <c r="R51" s="2" t="s">
        <v>77</v>
      </c>
      <c r="S51" s="2">
        <f t="shared" si="0"/>
        <v>2010</v>
      </c>
      <c r="T51" s="2" t="str">
        <f t="shared" si="1"/>
        <v>Nov</v>
      </c>
    </row>
    <row r="52" spans="1:20" x14ac:dyDescent="0.3">
      <c r="A52" s="1" t="s">
        <v>174</v>
      </c>
      <c r="B52" s="1" t="s">
        <v>79</v>
      </c>
      <c r="C52" s="1" t="s">
        <v>22</v>
      </c>
      <c r="D52" s="4">
        <v>40849</v>
      </c>
      <c r="E52" s="1" t="s">
        <v>23</v>
      </c>
      <c r="F52" s="4">
        <v>33469</v>
      </c>
      <c r="G52" s="1" t="s">
        <v>24</v>
      </c>
      <c r="H52" s="1" t="s">
        <v>87</v>
      </c>
      <c r="I52" s="1" t="s">
        <v>26</v>
      </c>
      <c r="J52" s="1" t="s">
        <v>27</v>
      </c>
      <c r="K52" s="4" t="s">
        <v>28</v>
      </c>
      <c r="L52" s="1" t="s">
        <v>80</v>
      </c>
      <c r="M52" s="1" t="s">
        <v>175</v>
      </c>
      <c r="N52" s="1" t="s">
        <v>82</v>
      </c>
      <c r="O52" s="1" t="s">
        <v>89</v>
      </c>
      <c r="P52" s="1" t="s">
        <v>49</v>
      </c>
      <c r="Q52" s="2" t="s">
        <v>68</v>
      </c>
      <c r="R52" s="2" t="s">
        <v>77</v>
      </c>
      <c r="S52" s="2">
        <f t="shared" si="0"/>
        <v>2011</v>
      </c>
      <c r="T52" s="2" t="str">
        <f t="shared" si="1"/>
        <v>Nov</v>
      </c>
    </row>
    <row r="53" spans="1:20" x14ac:dyDescent="0.3">
      <c r="A53" s="1" t="s">
        <v>176</v>
      </c>
      <c r="B53" s="1" t="s">
        <v>79</v>
      </c>
      <c r="C53" s="1" t="s">
        <v>22</v>
      </c>
      <c r="D53" s="4">
        <v>34967</v>
      </c>
      <c r="E53" s="1" t="s">
        <v>23</v>
      </c>
      <c r="F53" s="4">
        <v>27373</v>
      </c>
      <c r="G53" s="1" t="s">
        <v>24</v>
      </c>
      <c r="H53" s="1" t="s">
        <v>87</v>
      </c>
      <c r="I53" s="1" t="s">
        <v>26</v>
      </c>
      <c r="J53" s="1" t="s">
        <v>27</v>
      </c>
      <c r="K53" s="4" t="s">
        <v>28</v>
      </c>
      <c r="L53" s="1" t="s">
        <v>80</v>
      </c>
      <c r="M53" s="1" t="s">
        <v>177</v>
      </c>
      <c r="N53" s="1" t="s">
        <v>82</v>
      </c>
      <c r="O53" s="1" t="s">
        <v>89</v>
      </c>
      <c r="P53" s="1" t="s">
        <v>49</v>
      </c>
      <c r="Q53" s="2" t="s">
        <v>58</v>
      </c>
      <c r="R53" s="2" t="s">
        <v>34</v>
      </c>
      <c r="S53" s="2">
        <f t="shared" si="0"/>
        <v>1995</v>
      </c>
      <c r="T53" s="2" t="str">
        <f t="shared" si="1"/>
        <v>Sep</v>
      </c>
    </row>
    <row r="54" spans="1:20" x14ac:dyDescent="0.3">
      <c r="A54" s="1" t="s">
        <v>178</v>
      </c>
      <c r="B54" s="1" t="s">
        <v>151</v>
      </c>
      <c r="C54" s="1" t="s">
        <v>22</v>
      </c>
      <c r="D54" s="4">
        <v>41087</v>
      </c>
      <c r="E54" s="1" t="s">
        <v>23</v>
      </c>
      <c r="F54" s="4">
        <v>29659</v>
      </c>
      <c r="G54" s="1" t="s">
        <v>24</v>
      </c>
      <c r="H54" s="1" t="s">
        <v>65</v>
      </c>
      <c r="I54" s="1" t="s">
        <v>26</v>
      </c>
      <c r="J54" s="1" t="s">
        <v>27</v>
      </c>
      <c r="K54" s="4" t="s">
        <v>28</v>
      </c>
      <c r="L54" s="1" t="s">
        <v>152</v>
      </c>
      <c r="M54" s="1" t="s">
        <v>179</v>
      </c>
      <c r="N54" s="1" t="s">
        <v>154</v>
      </c>
      <c r="O54" s="1" t="s">
        <v>67</v>
      </c>
      <c r="P54" s="1" t="s">
        <v>49</v>
      </c>
      <c r="Q54" s="2" t="s">
        <v>50</v>
      </c>
      <c r="R54" s="2" t="s">
        <v>83</v>
      </c>
      <c r="S54" s="2">
        <f t="shared" si="0"/>
        <v>2012</v>
      </c>
      <c r="T54" s="2" t="str">
        <f t="shared" si="1"/>
        <v>Jun</v>
      </c>
    </row>
    <row r="55" spans="1:20" x14ac:dyDescent="0.3">
      <c r="A55" s="1" t="s">
        <v>180</v>
      </c>
      <c r="B55" s="1" t="s">
        <v>79</v>
      </c>
      <c r="C55" s="1" t="s">
        <v>22</v>
      </c>
      <c r="D55" s="4">
        <v>41158</v>
      </c>
      <c r="E55" s="1" t="s">
        <v>23</v>
      </c>
      <c r="F55" s="4">
        <v>26073</v>
      </c>
      <c r="G55" s="1" t="s">
        <v>24</v>
      </c>
      <c r="H55" s="1" t="s">
        <v>53</v>
      </c>
      <c r="I55" s="1" t="s">
        <v>26</v>
      </c>
      <c r="J55" s="1" t="s">
        <v>27</v>
      </c>
      <c r="K55" s="4" t="s">
        <v>28</v>
      </c>
      <c r="L55" s="1" t="s">
        <v>80</v>
      </c>
      <c r="M55" s="1" t="s">
        <v>181</v>
      </c>
      <c r="N55" s="1" t="s">
        <v>82</v>
      </c>
      <c r="O55" s="1" t="s">
        <v>57</v>
      </c>
      <c r="P55" s="1" t="s">
        <v>49</v>
      </c>
      <c r="Q55" s="2" t="s">
        <v>58</v>
      </c>
      <c r="R55" s="2" t="s">
        <v>83</v>
      </c>
      <c r="S55" s="2">
        <f t="shared" si="0"/>
        <v>2012</v>
      </c>
      <c r="T55" s="2" t="str">
        <f t="shared" si="1"/>
        <v>Sep</v>
      </c>
    </row>
    <row r="56" spans="1:20" x14ac:dyDescent="0.3">
      <c r="A56" s="1" t="s">
        <v>182</v>
      </c>
      <c r="B56" s="1" t="s">
        <v>79</v>
      </c>
      <c r="C56" s="1" t="s">
        <v>22</v>
      </c>
      <c r="D56" s="4">
        <v>41948</v>
      </c>
      <c r="E56" s="1" t="s">
        <v>23</v>
      </c>
      <c r="F56" s="4">
        <v>19231</v>
      </c>
      <c r="G56" s="1" t="s">
        <v>24</v>
      </c>
      <c r="H56" s="1" t="s">
        <v>53</v>
      </c>
      <c r="I56" s="1" t="s">
        <v>26</v>
      </c>
      <c r="J56" s="1" t="s">
        <v>27</v>
      </c>
      <c r="K56" s="4" t="s">
        <v>28</v>
      </c>
      <c r="L56" s="1" t="s">
        <v>80</v>
      </c>
      <c r="M56" s="1" t="s">
        <v>183</v>
      </c>
      <c r="N56" s="1" t="s">
        <v>82</v>
      </c>
      <c r="O56" s="1" t="s">
        <v>57</v>
      </c>
      <c r="P56" s="1" t="s">
        <v>49</v>
      </c>
      <c r="Q56" s="2" t="s">
        <v>33</v>
      </c>
      <c r="R56" s="2" t="s">
        <v>42</v>
      </c>
      <c r="S56" s="2">
        <f t="shared" si="0"/>
        <v>2014</v>
      </c>
      <c r="T56" s="2" t="str">
        <f t="shared" si="1"/>
        <v>Nov</v>
      </c>
    </row>
    <row r="57" spans="1:20" x14ac:dyDescent="0.3">
      <c r="A57" s="1" t="s">
        <v>184</v>
      </c>
      <c r="B57" s="1" t="s">
        <v>79</v>
      </c>
      <c r="C57" s="1" t="s">
        <v>22</v>
      </c>
      <c r="D57" s="4">
        <v>41235</v>
      </c>
      <c r="E57" s="1" t="s">
        <v>23</v>
      </c>
      <c r="F57" s="4">
        <v>25233</v>
      </c>
      <c r="G57" s="1" t="s">
        <v>24</v>
      </c>
      <c r="H57" s="1" t="s">
        <v>53</v>
      </c>
      <c r="I57" s="1" t="s">
        <v>26</v>
      </c>
      <c r="J57" s="1" t="s">
        <v>27</v>
      </c>
      <c r="K57" s="4" t="s">
        <v>28</v>
      </c>
      <c r="L57" s="1" t="s">
        <v>80</v>
      </c>
      <c r="M57" s="1" t="s">
        <v>185</v>
      </c>
      <c r="N57" s="1" t="s">
        <v>82</v>
      </c>
      <c r="O57" s="1" t="s">
        <v>57</v>
      </c>
      <c r="P57" s="1" t="s">
        <v>49</v>
      </c>
      <c r="Q57" s="2" t="s">
        <v>96</v>
      </c>
      <c r="R57" s="2" t="s">
        <v>83</v>
      </c>
      <c r="S57" s="2">
        <f t="shared" si="0"/>
        <v>2012</v>
      </c>
      <c r="T57" s="2" t="str">
        <f t="shared" si="1"/>
        <v>Nov</v>
      </c>
    </row>
    <row r="58" spans="1:20" x14ac:dyDescent="0.3">
      <c r="A58" s="1" t="s">
        <v>186</v>
      </c>
      <c r="B58" s="1" t="s">
        <v>79</v>
      </c>
      <c r="C58" s="1" t="s">
        <v>22</v>
      </c>
      <c r="D58" s="4">
        <v>41888</v>
      </c>
      <c r="E58" s="1" t="s">
        <v>23</v>
      </c>
      <c r="F58" s="4">
        <v>25268</v>
      </c>
      <c r="G58" s="1" t="s">
        <v>24</v>
      </c>
      <c r="H58" s="1" t="s">
        <v>87</v>
      </c>
      <c r="I58" s="1" t="s">
        <v>26</v>
      </c>
      <c r="J58" s="1" t="s">
        <v>27</v>
      </c>
      <c r="K58" s="4" t="s">
        <v>28</v>
      </c>
      <c r="L58" s="1" t="s">
        <v>80</v>
      </c>
      <c r="M58" s="1" t="s">
        <v>187</v>
      </c>
      <c r="N58" s="1" t="s">
        <v>82</v>
      </c>
      <c r="O58" s="1" t="s">
        <v>89</v>
      </c>
      <c r="P58" s="1" t="s">
        <v>49</v>
      </c>
      <c r="Q58" s="2" t="s">
        <v>96</v>
      </c>
      <c r="R58" s="2" t="s">
        <v>42</v>
      </c>
      <c r="S58" s="2">
        <f t="shared" si="0"/>
        <v>2014</v>
      </c>
      <c r="T58" s="2" t="str">
        <f t="shared" si="1"/>
        <v>Sep</v>
      </c>
    </row>
    <row r="59" spans="1:20" x14ac:dyDescent="0.3">
      <c r="A59" s="1" t="s">
        <v>188</v>
      </c>
      <c r="B59" s="1" t="s">
        <v>79</v>
      </c>
      <c r="C59" s="1" t="s">
        <v>22</v>
      </c>
      <c r="D59" s="4">
        <v>41248</v>
      </c>
      <c r="E59" s="1" t="s">
        <v>23</v>
      </c>
      <c r="F59" s="4">
        <v>30547</v>
      </c>
      <c r="G59" s="1" t="s">
        <v>24</v>
      </c>
      <c r="H59" s="1" t="s">
        <v>126</v>
      </c>
      <c r="I59" s="1" t="s">
        <v>26</v>
      </c>
      <c r="J59" s="1" t="s">
        <v>27</v>
      </c>
      <c r="K59" s="4" t="s">
        <v>28</v>
      </c>
      <c r="L59" s="1" t="s">
        <v>80</v>
      </c>
      <c r="M59" s="1" t="s">
        <v>189</v>
      </c>
      <c r="N59" s="1" t="s">
        <v>82</v>
      </c>
      <c r="O59" s="1" t="s">
        <v>57</v>
      </c>
      <c r="P59" s="1" t="s">
        <v>49</v>
      </c>
      <c r="Q59" s="2" t="s">
        <v>61</v>
      </c>
      <c r="R59" s="2" t="s">
        <v>83</v>
      </c>
      <c r="S59" s="2">
        <f t="shared" si="0"/>
        <v>2012</v>
      </c>
      <c r="T59" s="2" t="str">
        <f t="shared" si="1"/>
        <v>Dec</v>
      </c>
    </row>
    <row r="60" spans="1:20" x14ac:dyDescent="0.3">
      <c r="A60" s="1" t="s">
        <v>190</v>
      </c>
      <c r="B60" s="1" t="s">
        <v>79</v>
      </c>
      <c r="C60" s="1" t="s">
        <v>22</v>
      </c>
      <c r="D60" s="4">
        <v>41905</v>
      </c>
      <c r="E60" s="1" t="s">
        <v>23</v>
      </c>
      <c r="F60" s="4">
        <v>24983</v>
      </c>
      <c r="G60" s="1" t="s">
        <v>24</v>
      </c>
      <c r="H60" s="1" t="s">
        <v>53</v>
      </c>
      <c r="I60" s="1" t="s">
        <v>26</v>
      </c>
      <c r="J60" s="1" t="s">
        <v>27</v>
      </c>
      <c r="K60" s="4" t="s">
        <v>28</v>
      </c>
      <c r="L60" s="1" t="s">
        <v>80</v>
      </c>
      <c r="M60" s="1" t="s">
        <v>191</v>
      </c>
      <c r="N60" s="1" t="s">
        <v>82</v>
      </c>
      <c r="O60" s="1" t="s">
        <v>57</v>
      </c>
      <c r="P60" s="1" t="s">
        <v>49</v>
      </c>
      <c r="Q60" s="2" t="s">
        <v>96</v>
      </c>
      <c r="R60" s="2" t="s">
        <v>42</v>
      </c>
      <c r="S60" s="2">
        <f t="shared" si="0"/>
        <v>2014</v>
      </c>
      <c r="T60" s="2" t="str">
        <f t="shared" si="1"/>
        <v>Sep</v>
      </c>
    </row>
    <row r="61" spans="1:20" x14ac:dyDescent="0.3">
      <c r="A61" s="1" t="s">
        <v>192</v>
      </c>
      <c r="B61" s="1" t="s">
        <v>35</v>
      </c>
      <c r="C61" s="1" t="s">
        <v>22</v>
      </c>
      <c r="D61" s="4">
        <v>41300</v>
      </c>
      <c r="E61" s="1" t="s">
        <v>23</v>
      </c>
      <c r="F61" s="4">
        <v>31073</v>
      </c>
      <c r="G61" s="1" t="s">
        <v>24</v>
      </c>
      <c r="H61" s="1" t="s">
        <v>87</v>
      </c>
      <c r="I61" s="1" t="s">
        <v>26</v>
      </c>
      <c r="J61" s="1" t="s">
        <v>27</v>
      </c>
      <c r="K61" s="4" t="s">
        <v>28</v>
      </c>
      <c r="L61" s="1" t="s">
        <v>29</v>
      </c>
      <c r="M61" s="1" t="s">
        <v>193</v>
      </c>
      <c r="N61" s="1" t="s">
        <v>39</v>
      </c>
      <c r="O61" s="1" t="s">
        <v>89</v>
      </c>
      <c r="P61" s="1" t="s">
        <v>49</v>
      </c>
      <c r="Q61" s="2" t="s">
        <v>61</v>
      </c>
      <c r="R61" s="2" t="s">
        <v>83</v>
      </c>
      <c r="S61" s="2">
        <f t="shared" si="0"/>
        <v>2013</v>
      </c>
      <c r="T61" s="2" t="str">
        <f t="shared" si="1"/>
        <v>Jan</v>
      </c>
    </row>
    <row r="62" spans="1:20" x14ac:dyDescent="0.3">
      <c r="A62" s="1" t="s">
        <v>194</v>
      </c>
      <c r="B62" s="1" t="s">
        <v>79</v>
      </c>
      <c r="C62" s="1" t="s">
        <v>22</v>
      </c>
      <c r="D62" s="4">
        <v>41569</v>
      </c>
      <c r="E62" s="1" t="s">
        <v>23</v>
      </c>
      <c r="F62" s="4">
        <v>27546</v>
      </c>
      <c r="G62" s="1" t="s">
        <v>24</v>
      </c>
      <c r="H62" s="1" t="s">
        <v>53</v>
      </c>
      <c r="I62" s="1" t="s">
        <v>26</v>
      </c>
      <c r="J62" s="1" t="s">
        <v>27</v>
      </c>
      <c r="K62" s="4" t="s">
        <v>28</v>
      </c>
      <c r="L62" s="1" t="s">
        <v>80</v>
      </c>
      <c r="M62" s="1" t="s">
        <v>195</v>
      </c>
      <c r="N62" s="1" t="s">
        <v>82</v>
      </c>
      <c r="O62" s="1" t="s">
        <v>57</v>
      </c>
      <c r="P62" s="1" t="s">
        <v>49</v>
      </c>
      <c r="Q62" s="2" t="s">
        <v>58</v>
      </c>
      <c r="R62" s="2" t="s">
        <v>83</v>
      </c>
      <c r="S62" s="2">
        <f t="shared" si="0"/>
        <v>2013</v>
      </c>
      <c r="T62" s="2" t="str">
        <f t="shared" si="1"/>
        <v>Oct</v>
      </c>
    </row>
    <row r="63" spans="1:20" x14ac:dyDescent="0.3">
      <c r="A63" s="1" t="s">
        <v>137</v>
      </c>
      <c r="B63" s="1" t="s">
        <v>20</v>
      </c>
      <c r="C63" s="1" t="s">
        <v>22</v>
      </c>
      <c r="D63" s="4">
        <v>41597</v>
      </c>
      <c r="E63" s="1" t="s">
        <v>23</v>
      </c>
      <c r="F63" s="4">
        <v>25626</v>
      </c>
      <c r="G63" s="1" t="s">
        <v>24</v>
      </c>
      <c r="H63" s="1" t="s">
        <v>37</v>
      </c>
      <c r="I63" s="1" t="s">
        <v>26</v>
      </c>
      <c r="J63" s="1" t="s">
        <v>27</v>
      </c>
      <c r="K63" s="4" t="s">
        <v>28</v>
      </c>
      <c r="L63" s="1" t="s">
        <v>38</v>
      </c>
      <c r="M63" s="1" t="s">
        <v>139</v>
      </c>
      <c r="N63" s="1" t="s">
        <v>30</v>
      </c>
      <c r="O63" s="1" t="s">
        <v>41</v>
      </c>
      <c r="P63" s="1" t="s">
        <v>32</v>
      </c>
      <c r="Q63" s="2" t="s">
        <v>96</v>
      </c>
      <c r="R63" s="2" t="s">
        <v>83</v>
      </c>
      <c r="S63" s="2">
        <f t="shared" si="0"/>
        <v>2013</v>
      </c>
      <c r="T63" s="2" t="str">
        <f t="shared" si="1"/>
        <v>Nov</v>
      </c>
    </row>
    <row r="64" spans="1:20" x14ac:dyDescent="0.3">
      <c r="A64" s="1" t="s">
        <v>196</v>
      </c>
      <c r="B64" s="1" t="s">
        <v>35</v>
      </c>
      <c r="C64" s="1" t="s">
        <v>22</v>
      </c>
      <c r="D64" s="4">
        <v>41615</v>
      </c>
      <c r="E64" s="1" t="s">
        <v>23</v>
      </c>
      <c r="F64" s="4">
        <v>32532</v>
      </c>
      <c r="G64" s="1" t="s">
        <v>24</v>
      </c>
      <c r="H64" s="1" t="s">
        <v>87</v>
      </c>
      <c r="I64" s="1" t="s">
        <v>26</v>
      </c>
      <c r="J64" s="1" t="s">
        <v>27</v>
      </c>
      <c r="K64" s="4" t="s">
        <v>28</v>
      </c>
      <c r="L64" s="1" t="s">
        <v>29</v>
      </c>
      <c r="M64" s="1" t="s">
        <v>197</v>
      </c>
      <c r="N64" s="1" t="s">
        <v>39</v>
      </c>
      <c r="O64" s="1" t="s">
        <v>89</v>
      </c>
      <c r="P64" s="1" t="s">
        <v>49</v>
      </c>
      <c r="Q64" s="2" t="s">
        <v>68</v>
      </c>
      <c r="R64" s="2" t="s">
        <v>83</v>
      </c>
      <c r="S64" s="2">
        <f t="shared" si="0"/>
        <v>2013</v>
      </c>
      <c r="T64" s="2" t="str">
        <f t="shared" si="1"/>
        <v>Dec</v>
      </c>
    </row>
    <row r="65" spans="1:20" x14ac:dyDescent="0.3">
      <c r="A65" s="1" t="s">
        <v>198</v>
      </c>
      <c r="B65" s="1" t="s">
        <v>79</v>
      </c>
      <c r="C65" s="1" t="s">
        <v>22</v>
      </c>
      <c r="D65" s="4">
        <v>41937</v>
      </c>
      <c r="E65" s="1" t="s">
        <v>23</v>
      </c>
      <c r="F65" s="4">
        <v>28946</v>
      </c>
      <c r="G65" s="1" t="s">
        <v>24</v>
      </c>
      <c r="H65" s="1" t="s">
        <v>53</v>
      </c>
      <c r="I65" s="1" t="s">
        <v>26</v>
      </c>
      <c r="J65" s="1" t="s">
        <v>27</v>
      </c>
      <c r="K65" s="4" t="s">
        <v>28</v>
      </c>
      <c r="L65" s="1" t="s">
        <v>80</v>
      </c>
      <c r="M65" s="1" t="s">
        <v>199</v>
      </c>
      <c r="N65" s="1" t="s">
        <v>82</v>
      </c>
      <c r="O65" s="1" t="s">
        <v>57</v>
      </c>
      <c r="P65" s="1" t="s">
        <v>49</v>
      </c>
      <c r="Q65" s="2" t="s">
        <v>50</v>
      </c>
      <c r="R65" s="2" t="s">
        <v>42</v>
      </c>
      <c r="S65" s="2">
        <f t="shared" si="0"/>
        <v>2014</v>
      </c>
      <c r="T65" s="2" t="str">
        <f t="shared" si="1"/>
        <v>Oct</v>
      </c>
    </row>
    <row r="66" spans="1:20" x14ac:dyDescent="0.3">
      <c r="A66" s="1" t="s">
        <v>200</v>
      </c>
      <c r="B66" s="1" t="s">
        <v>201</v>
      </c>
      <c r="C66" s="1" t="s">
        <v>22</v>
      </c>
      <c r="D66" s="4">
        <v>42320</v>
      </c>
      <c r="E66" s="1" t="s">
        <v>23</v>
      </c>
      <c r="F66" s="4">
        <v>30433</v>
      </c>
      <c r="G66" s="1" t="s">
        <v>24</v>
      </c>
      <c r="H66" s="1" t="s">
        <v>87</v>
      </c>
      <c r="I66" s="1" t="s">
        <v>26</v>
      </c>
      <c r="J66" s="1" t="s">
        <v>27</v>
      </c>
      <c r="K66" s="4" t="s">
        <v>28</v>
      </c>
      <c r="L66" s="1" t="s">
        <v>38</v>
      </c>
      <c r="M66" s="1" t="s">
        <v>202</v>
      </c>
      <c r="N66" s="1" t="s">
        <v>203</v>
      </c>
      <c r="O66" s="1" t="s">
        <v>89</v>
      </c>
      <c r="P66" s="1" t="s">
        <v>49</v>
      </c>
      <c r="Q66" s="2" t="s">
        <v>61</v>
      </c>
      <c r="R66" s="2" t="s">
        <v>42</v>
      </c>
      <c r="S66" s="2">
        <f t="shared" ref="S66:S129" si="2">YEAR(D66)</f>
        <v>2015</v>
      </c>
      <c r="T66" s="2" t="str">
        <f t="shared" ref="T66:T129" si="3">TEXT(D66,"MMM")</f>
        <v>Nov</v>
      </c>
    </row>
    <row r="67" spans="1:20" x14ac:dyDescent="0.3">
      <c r="A67" s="1" t="s">
        <v>204</v>
      </c>
      <c r="B67" s="1" t="s">
        <v>20</v>
      </c>
      <c r="C67" s="1" t="s">
        <v>22</v>
      </c>
      <c r="D67" s="4">
        <v>42635</v>
      </c>
      <c r="E67" s="1" t="s">
        <v>23</v>
      </c>
      <c r="F67" s="4">
        <v>28540</v>
      </c>
      <c r="G67" s="1" t="s">
        <v>24</v>
      </c>
      <c r="H67" s="1" t="s">
        <v>103</v>
      </c>
      <c r="I67" s="1" t="s">
        <v>26</v>
      </c>
      <c r="J67" s="1" t="s">
        <v>27</v>
      </c>
      <c r="K67" s="4" t="s">
        <v>28</v>
      </c>
      <c r="L67" s="1" t="s">
        <v>38</v>
      </c>
      <c r="M67" s="1" t="s">
        <v>205</v>
      </c>
      <c r="N67" s="1" t="s">
        <v>30</v>
      </c>
      <c r="O67" s="1" t="s">
        <v>104</v>
      </c>
      <c r="P67" s="1" t="s">
        <v>32</v>
      </c>
      <c r="Q67" s="2" t="s">
        <v>50</v>
      </c>
      <c r="R67" s="2" t="s">
        <v>169</v>
      </c>
      <c r="S67" s="2">
        <f t="shared" si="2"/>
        <v>2016</v>
      </c>
      <c r="T67" s="2" t="str">
        <f t="shared" si="3"/>
        <v>Sep</v>
      </c>
    </row>
    <row r="68" spans="1:20" x14ac:dyDescent="0.3">
      <c r="A68" s="1" t="s">
        <v>44</v>
      </c>
      <c r="B68" s="1" t="s">
        <v>20</v>
      </c>
      <c r="C68" s="1" t="s">
        <v>206</v>
      </c>
      <c r="D68" s="4">
        <v>35779</v>
      </c>
      <c r="E68" s="1" t="s">
        <v>23</v>
      </c>
      <c r="F68" s="4">
        <v>26304</v>
      </c>
      <c r="G68" s="1" t="s">
        <v>24</v>
      </c>
      <c r="H68" s="1" t="s">
        <v>37</v>
      </c>
      <c r="I68" s="1" t="s">
        <v>26</v>
      </c>
      <c r="J68" s="1" t="s">
        <v>27</v>
      </c>
      <c r="K68" s="4" t="s">
        <v>28</v>
      </c>
      <c r="L68" s="1" t="s">
        <v>38</v>
      </c>
      <c r="M68" s="1" t="s">
        <v>47</v>
      </c>
      <c r="N68" s="1" t="s">
        <v>30</v>
      </c>
      <c r="O68" s="1" t="s">
        <v>41</v>
      </c>
      <c r="P68" s="1" t="s">
        <v>32</v>
      </c>
      <c r="Q68" s="2" t="s">
        <v>58</v>
      </c>
      <c r="R68" s="2" t="s">
        <v>34</v>
      </c>
      <c r="S68" s="2">
        <f t="shared" si="2"/>
        <v>1997</v>
      </c>
      <c r="T68" s="2" t="str">
        <f t="shared" si="3"/>
        <v>Dec</v>
      </c>
    </row>
    <row r="69" spans="1:20" x14ac:dyDescent="0.3">
      <c r="A69" s="1" t="s">
        <v>207</v>
      </c>
      <c r="B69" s="1" t="s">
        <v>79</v>
      </c>
      <c r="C69" s="1" t="s">
        <v>206</v>
      </c>
      <c r="D69" s="4">
        <v>40817</v>
      </c>
      <c r="E69" s="1" t="s">
        <v>23</v>
      </c>
      <c r="F69" s="4">
        <v>30202</v>
      </c>
      <c r="G69" s="1" t="s">
        <v>24</v>
      </c>
      <c r="H69" s="1" t="s">
        <v>53</v>
      </c>
      <c r="I69" s="1" t="s">
        <v>26</v>
      </c>
      <c r="J69" s="1" t="s">
        <v>27</v>
      </c>
      <c r="K69" s="4" t="s">
        <v>28</v>
      </c>
      <c r="L69" s="1" t="s">
        <v>80</v>
      </c>
      <c r="M69" s="1" t="s">
        <v>208</v>
      </c>
      <c r="N69" s="1" t="s">
        <v>82</v>
      </c>
      <c r="O69" s="1" t="s">
        <v>57</v>
      </c>
      <c r="P69" s="1" t="s">
        <v>49</v>
      </c>
      <c r="Q69" s="2" t="s">
        <v>61</v>
      </c>
      <c r="R69" s="2" t="s">
        <v>77</v>
      </c>
      <c r="S69" s="2">
        <f t="shared" si="2"/>
        <v>2011</v>
      </c>
      <c r="T69" s="2" t="str">
        <f t="shared" si="3"/>
        <v>Oct</v>
      </c>
    </row>
    <row r="70" spans="1:20" x14ac:dyDescent="0.3">
      <c r="A70" s="1" t="s">
        <v>209</v>
      </c>
      <c r="B70" s="1" t="s">
        <v>201</v>
      </c>
      <c r="C70" s="1" t="s">
        <v>206</v>
      </c>
      <c r="D70" s="4">
        <v>39736</v>
      </c>
      <c r="E70" s="1" t="s">
        <v>23</v>
      </c>
      <c r="F70" s="4">
        <v>28540</v>
      </c>
      <c r="G70" s="1" t="s">
        <v>24</v>
      </c>
      <c r="H70" s="1" t="s">
        <v>45</v>
      </c>
      <c r="I70" s="1" t="s">
        <v>26</v>
      </c>
      <c r="J70" s="1" t="s">
        <v>27</v>
      </c>
      <c r="K70" s="4" t="s">
        <v>28</v>
      </c>
      <c r="L70" s="1" t="s">
        <v>38</v>
      </c>
      <c r="M70" s="1" t="s">
        <v>210</v>
      </c>
      <c r="N70" s="1" t="s">
        <v>203</v>
      </c>
      <c r="O70" s="1" t="s">
        <v>48</v>
      </c>
      <c r="P70" s="1" t="s">
        <v>49</v>
      </c>
      <c r="Q70" s="2" t="s">
        <v>50</v>
      </c>
      <c r="R70" s="2" t="s">
        <v>77</v>
      </c>
      <c r="S70" s="2">
        <f t="shared" si="2"/>
        <v>2008</v>
      </c>
      <c r="T70" s="2" t="str">
        <f t="shared" si="3"/>
        <v>Oct</v>
      </c>
    </row>
    <row r="71" spans="1:20" x14ac:dyDescent="0.3">
      <c r="A71" s="1" t="s">
        <v>211</v>
      </c>
      <c r="B71" s="1" t="s">
        <v>20</v>
      </c>
      <c r="C71" s="1" t="s">
        <v>206</v>
      </c>
      <c r="D71" s="4">
        <v>41755</v>
      </c>
      <c r="E71" s="1" t="s">
        <v>23</v>
      </c>
      <c r="F71" s="4">
        <v>32913</v>
      </c>
      <c r="G71" s="1" t="s">
        <v>24</v>
      </c>
      <c r="H71" s="1" t="s">
        <v>103</v>
      </c>
      <c r="I71" s="1" t="s">
        <v>26</v>
      </c>
      <c r="J71" s="1" t="s">
        <v>27</v>
      </c>
      <c r="K71" s="4" t="s">
        <v>28</v>
      </c>
      <c r="L71" s="1" t="s">
        <v>38</v>
      </c>
      <c r="M71" s="1" t="s">
        <v>212</v>
      </c>
      <c r="N71" s="1" t="s">
        <v>30</v>
      </c>
      <c r="O71" s="1" t="s">
        <v>104</v>
      </c>
      <c r="P71" s="1" t="s">
        <v>32</v>
      </c>
      <c r="Q71" s="2" t="s">
        <v>68</v>
      </c>
      <c r="R71" s="2" t="s">
        <v>42</v>
      </c>
      <c r="S71" s="2">
        <f t="shared" si="2"/>
        <v>2014</v>
      </c>
      <c r="T71" s="2" t="str">
        <f t="shared" si="3"/>
        <v>Apr</v>
      </c>
    </row>
    <row r="72" spans="1:20" x14ac:dyDescent="0.3">
      <c r="A72" s="1" t="s">
        <v>213</v>
      </c>
      <c r="B72" s="1" t="s">
        <v>20</v>
      </c>
      <c r="C72" s="1" t="s">
        <v>206</v>
      </c>
      <c r="D72" s="4">
        <v>42036</v>
      </c>
      <c r="E72" s="1" t="s">
        <v>23</v>
      </c>
      <c r="F72" s="4">
        <v>30452</v>
      </c>
      <c r="G72" s="1" t="s">
        <v>24</v>
      </c>
      <c r="H72" s="1" t="s">
        <v>103</v>
      </c>
      <c r="I72" s="1" t="s">
        <v>26</v>
      </c>
      <c r="J72" s="1" t="s">
        <v>27</v>
      </c>
      <c r="K72" s="4" t="s">
        <v>28</v>
      </c>
      <c r="L72" s="1" t="s">
        <v>38</v>
      </c>
      <c r="M72" s="1" t="s">
        <v>214</v>
      </c>
      <c r="N72" s="1" t="s">
        <v>30</v>
      </c>
      <c r="O72" s="1" t="s">
        <v>104</v>
      </c>
      <c r="P72" s="1" t="s">
        <v>32</v>
      </c>
      <c r="Q72" s="2" t="s">
        <v>61</v>
      </c>
      <c r="R72" s="2" t="s">
        <v>42</v>
      </c>
      <c r="S72" s="2">
        <f t="shared" si="2"/>
        <v>2015</v>
      </c>
      <c r="T72" s="2" t="str">
        <f t="shared" si="3"/>
        <v>Feb</v>
      </c>
    </row>
    <row r="73" spans="1:20" x14ac:dyDescent="0.3">
      <c r="A73" s="1" t="s">
        <v>215</v>
      </c>
      <c r="B73" s="1" t="s">
        <v>52</v>
      </c>
      <c r="C73" s="1" t="s">
        <v>22</v>
      </c>
      <c r="D73" s="4">
        <v>42094</v>
      </c>
      <c r="E73" s="1" t="s">
        <v>23</v>
      </c>
      <c r="F73" s="4">
        <v>31198</v>
      </c>
      <c r="G73" s="1" t="s">
        <v>216</v>
      </c>
      <c r="H73" s="1" t="s">
        <v>87</v>
      </c>
      <c r="I73" s="1" t="s">
        <v>26</v>
      </c>
      <c r="J73" s="1" t="s">
        <v>27</v>
      </c>
      <c r="K73" s="4" t="s">
        <v>28</v>
      </c>
      <c r="L73" s="1" t="s">
        <v>54</v>
      </c>
      <c r="M73" s="1" t="s">
        <v>217</v>
      </c>
      <c r="N73" s="1" t="s">
        <v>56</v>
      </c>
      <c r="O73" s="1" t="s">
        <v>89</v>
      </c>
      <c r="P73" s="1" t="s">
        <v>49</v>
      </c>
      <c r="Q73" s="2" t="s">
        <v>61</v>
      </c>
      <c r="R73" s="2" t="s">
        <v>42</v>
      </c>
      <c r="S73" s="2">
        <f t="shared" si="2"/>
        <v>2015</v>
      </c>
      <c r="T73" s="2" t="str">
        <f t="shared" si="3"/>
        <v>Mar</v>
      </c>
    </row>
    <row r="74" spans="1:20" x14ac:dyDescent="0.3">
      <c r="A74" s="1" t="s">
        <v>218</v>
      </c>
      <c r="B74" s="1" t="s">
        <v>52</v>
      </c>
      <c r="C74" s="1" t="s">
        <v>22</v>
      </c>
      <c r="D74" s="4">
        <v>42249</v>
      </c>
      <c r="E74" s="1" t="s">
        <v>23</v>
      </c>
      <c r="F74" s="4">
        <v>32071</v>
      </c>
      <c r="G74" s="1" t="s">
        <v>216</v>
      </c>
      <c r="H74" s="1" t="s">
        <v>87</v>
      </c>
      <c r="I74" s="1" t="s">
        <v>26</v>
      </c>
      <c r="J74" s="1" t="s">
        <v>27</v>
      </c>
      <c r="K74" s="4" t="s">
        <v>28</v>
      </c>
      <c r="L74" s="1" t="s">
        <v>54</v>
      </c>
      <c r="M74" s="1" t="s">
        <v>219</v>
      </c>
      <c r="N74" s="1" t="s">
        <v>56</v>
      </c>
      <c r="O74" s="1" t="s">
        <v>89</v>
      </c>
      <c r="P74" s="1" t="s">
        <v>49</v>
      </c>
      <c r="Q74" s="2" t="s">
        <v>68</v>
      </c>
      <c r="R74" s="2" t="s">
        <v>42</v>
      </c>
      <c r="S74" s="2">
        <f t="shared" si="2"/>
        <v>2015</v>
      </c>
      <c r="T74" s="2" t="str">
        <f t="shared" si="3"/>
        <v>Sep</v>
      </c>
    </row>
    <row r="75" spans="1:20" x14ac:dyDescent="0.3">
      <c r="A75" s="1" t="s">
        <v>220</v>
      </c>
      <c r="B75" s="1" t="s">
        <v>79</v>
      </c>
      <c r="C75" s="1" t="s">
        <v>22</v>
      </c>
      <c r="D75" s="4">
        <v>41511</v>
      </c>
      <c r="E75" s="1" t="s">
        <v>23</v>
      </c>
      <c r="F75" s="4">
        <v>22212</v>
      </c>
      <c r="G75" s="1" t="s">
        <v>216</v>
      </c>
      <c r="H75" s="1" t="s">
        <v>53</v>
      </c>
      <c r="I75" s="1" t="s">
        <v>26</v>
      </c>
      <c r="J75" s="1" t="s">
        <v>27</v>
      </c>
      <c r="K75" s="4" t="s">
        <v>28</v>
      </c>
      <c r="L75" s="1" t="s">
        <v>80</v>
      </c>
      <c r="M75" s="1" t="s">
        <v>221</v>
      </c>
      <c r="N75" s="1" t="s">
        <v>82</v>
      </c>
      <c r="O75" s="1" t="s">
        <v>57</v>
      </c>
      <c r="P75" s="1" t="s">
        <v>49</v>
      </c>
      <c r="Q75" s="2" t="s">
        <v>33</v>
      </c>
      <c r="R75" s="2" t="s">
        <v>83</v>
      </c>
      <c r="S75" s="2">
        <f t="shared" si="2"/>
        <v>2013</v>
      </c>
      <c r="T75" s="2" t="str">
        <f t="shared" si="3"/>
        <v>Aug</v>
      </c>
    </row>
    <row r="76" spans="1:20" x14ac:dyDescent="0.3">
      <c r="A76" s="1" t="s">
        <v>222</v>
      </c>
      <c r="B76" s="1" t="s">
        <v>151</v>
      </c>
      <c r="C76" s="1" t="s">
        <v>22</v>
      </c>
      <c r="D76" s="4">
        <v>35488</v>
      </c>
      <c r="E76" s="1" t="s">
        <v>23</v>
      </c>
      <c r="F76" s="4">
        <v>27180</v>
      </c>
      <c r="G76" s="1" t="s">
        <v>216</v>
      </c>
      <c r="H76" s="1" t="s">
        <v>45</v>
      </c>
      <c r="I76" s="1" t="s">
        <v>26</v>
      </c>
      <c r="J76" s="1" t="s">
        <v>27</v>
      </c>
      <c r="K76" s="4" t="s">
        <v>28</v>
      </c>
      <c r="L76" s="1" t="s">
        <v>152</v>
      </c>
      <c r="M76" s="1" t="s">
        <v>223</v>
      </c>
      <c r="N76" s="1" t="s">
        <v>154</v>
      </c>
      <c r="O76" s="1" t="s">
        <v>48</v>
      </c>
      <c r="P76" s="1" t="s">
        <v>49</v>
      </c>
      <c r="Q76" s="2" t="s">
        <v>58</v>
      </c>
      <c r="R76" s="2" t="s">
        <v>34</v>
      </c>
      <c r="S76" s="2">
        <f t="shared" si="2"/>
        <v>1997</v>
      </c>
      <c r="T76" s="2" t="str">
        <f t="shared" si="3"/>
        <v>Feb</v>
      </c>
    </row>
    <row r="77" spans="1:20" x14ac:dyDescent="0.3">
      <c r="A77" s="1" t="s">
        <v>224</v>
      </c>
      <c r="B77" s="1" t="s">
        <v>52</v>
      </c>
      <c r="C77" s="1" t="s">
        <v>22</v>
      </c>
      <c r="D77" s="4">
        <v>41468</v>
      </c>
      <c r="E77" s="1" t="s">
        <v>23</v>
      </c>
      <c r="F77" s="4">
        <v>28616</v>
      </c>
      <c r="G77" s="1" t="s">
        <v>216</v>
      </c>
      <c r="H77" s="1" t="s">
        <v>87</v>
      </c>
      <c r="I77" s="1" t="s">
        <v>26</v>
      </c>
      <c r="J77" s="1" t="s">
        <v>27</v>
      </c>
      <c r="K77" s="4" t="s">
        <v>28</v>
      </c>
      <c r="L77" s="1" t="s">
        <v>54</v>
      </c>
      <c r="M77" s="1" t="s">
        <v>225</v>
      </c>
      <c r="N77" s="1" t="s">
        <v>56</v>
      </c>
      <c r="O77" s="1" t="s">
        <v>89</v>
      </c>
      <c r="P77" s="1" t="s">
        <v>49</v>
      </c>
      <c r="Q77" s="2" t="s">
        <v>50</v>
      </c>
      <c r="R77" s="2" t="s">
        <v>83</v>
      </c>
      <c r="S77" s="2">
        <f t="shared" si="2"/>
        <v>2013</v>
      </c>
      <c r="T77" s="2" t="str">
        <f t="shared" si="3"/>
        <v>Jul</v>
      </c>
    </row>
    <row r="78" spans="1:20" x14ac:dyDescent="0.3">
      <c r="A78" s="1" t="s">
        <v>226</v>
      </c>
      <c r="B78" s="1" t="s">
        <v>137</v>
      </c>
      <c r="C78" s="1" t="s">
        <v>22</v>
      </c>
      <c r="D78" s="4">
        <v>40803</v>
      </c>
      <c r="E78" s="1" t="s">
        <v>23</v>
      </c>
      <c r="F78" s="4">
        <v>31522</v>
      </c>
      <c r="G78" s="1" t="s">
        <v>216</v>
      </c>
      <c r="H78" s="1" t="s">
        <v>65</v>
      </c>
      <c r="I78" s="1" t="s">
        <v>26</v>
      </c>
      <c r="J78" s="1" t="s">
        <v>27</v>
      </c>
      <c r="K78" s="4" t="s">
        <v>28</v>
      </c>
      <c r="L78" s="1" t="s">
        <v>38</v>
      </c>
      <c r="M78" s="1" t="s">
        <v>227</v>
      </c>
      <c r="N78" s="1" t="s">
        <v>139</v>
      </c>
      <c r="O78" s="1" t="s">
        <v>67</v>
      </c>
      <c r="P78" s="1" t="s">
        <v>49</v>
      </c>
      <c r="Q78" s="2" t="s">
        <v>61</v>
      </c>
      <c r="R78" s="2" t="s">
        <v>77</v>
      </c>
      <c r="S78" s="2">
        <f t="shared" si="2"/>
        <v>2011</v>
      </c>
      <c r="T78" s="2" t="str">
        <f t="shared" si="3"/>
        <v>Sep</v>
      </c>
    </row>
    <row r="79" spans="1:20" x14ac:dyDescent="0.3">
      <c r="A79" s="1" t="s">
        <v>228</v>
      </c>
      <c r="B79" s="1" t="s">
        <v>201</v>
      </c>
      <c r="C79" s="1" t="s">
        <v>22</v>
      </c>
      <c r="D79" s="4">
        <v>41276</v>
      </c>
      <c r="E79" s="1" t="s">
        <v>23</v>
      </c>
      <c r="F79" s="4">
        <v>33390</v>
      </c>
      <c r="G79" s="1" t="s">
        <v>216</v>
      </c>
      <c r="H79" s="1" t="s">
        <v>65</v>
      </c>
      <c r="I79" s="1" t="s">
        <v>26</v>
      </c>
      <c r="J79" s="1" t="s">
        <v>27</v>
      </c>
      <c r="K79" s="4" t="s">
        <v>28</v>
      </c>
      <c r="L79" s="1" t="s">
        <v>38</v>
      </c>
      <c r="M79" s="1" t="s">
        <v>229</v>
      </c>
      <c r="N79" s="1" t="s">
        <v>203</v>
      </c>
      <c r="O79" s="1" t="s">
        <v>67</v>
      </c>
      <c r="P79" s="1" t="s">
        <v>49</v>
      </c>
      <c r="Q79" s="2" t="s">
        <v>68</v>
      </c>
      <c r="R79" s="2" t="s">
        <v>83</v>
      </c>
      <c r="S79" s="2">
        <f t="shared" si="2"/>
        <v>2013</v>
      </c>
      <c r="T79" s="2" t="str">
        <f t="shared" si="3"/>
        <v>Jan</v>
      </c>
    </row>
    <row r="80" spans="1:20" x14ac:dyDescent="0.3">
      <c r="A80" s="1" t="s">
        <v>230</v>
      </c>
      <c r="B80" s="1" t="s">
        <v>35</v>
      </c>
      <c r="C80" s="1" t="s">
        <v>22</v>
      </c>
      <c r="D80" s="4">
        <v>41555</v>
      </c>
      <c r="E80" s="1" t="s">
        <v>23</v>
      </c>
      <c r="F80" s="4">
        <v>32015</v>
      </c>
      <c r="G80" s="1" t="s">
        <v>216</v>
      </c>
      <c r="H80" s="1" t="s">
        <v>87</v>
      </c>
      <c r="I80" s="1" t="s">
        <v>26</v>
      </c>
      <c r="J80" s="1" t="s">
        <v>27</v>
      </c>
      <c r="K80" s="4" t="s">
        <v>28</v>
      </c>
      <c r="L80" s="1" t="s">
        <v>29</v>
      </c>
      <c r="M80" s="1" t="s">
        <v>231</v>
      </c>
      <c r="N80" s="1" t="s">
        <v>39</v>
      </c>
      <c r="O80" s="1" t="s">
        <v>89</v>
      </c>
      <c r="P80" s="1" t="s">
        <v>49</v>
      </c>
      <c r="Q80" s="2" t="s">
        <v>68</v>
      </c>
      <c r="R80" s="2" t="s">
        <v>83</v>
      </c>
      <c r="S80" s="2">
        <f t="shared" si="2"/>
        <v>2013</v>
      </c>
      <c r="T80" s="2" t="str">
        <f t="shared" si="3"/>
        <v>Oct</v>
      </c>
    </row>
    <row r="81" spans="1:20" x14ac:dyDescent="0.3">
      <c r="A81" s="1" t="s">
        <v>232</v>
      </c>
      <c r="B81" s="1" t="s">
        <v>151</v>
      </c>
      <c r="C81" s="1" t="s">
        <v>22</v>
      </c>
      <c r="D81" s="4">
        <v>41609</v>
      </c>
      <c r="E81" s="1" t="s">
        <v>23</v>
      </c>
      <c r="F81" s="4">
        <v>33111</v>
      </c>
      <c r="G81" s="1" t="s">
        <v>216</v>
      </c>
      <c r="H81" s="1" t="s">
        <v>65</v>
      </c>
      <c r="I81" s="1" t="s">
        <v>26</v>
      </c>
      <c r="J81" s="1" t="s">
        <v>27</v>
      </c>
      <c r="K81" s="4" t="s">
        <v>28</v>
      </c>
      <c r="L81" s="1" t="s">
        <v>152</v>
      </c>
      <c r="M81" s="1" t="s">
        <v>233</v>
      </c>
      <c r="N81" s="1" t="s">
        <v>154</v>
      </c>
      <c r="O81" s="1" t="s">
        <v>67</v>
      </c>
      <c r="P81" s="1" t="s">
        <v>49</v>
      </c>
      <c r="Q81" s="2" t="s">
        <v>68</v>
      </c>
      <c r="R81" s="2" t="s">
        <v>83</v>
      </c>
      <c r="S81" s="2">
        <f t="shared" si="2"/>
        <v>2013</v>
      </c>
      <c r="T81" s="2" t="str">
        <f t="shared" si="3"/>
        <v>Dec</v>
      </c>
    </row>
    <row r="82" spans="1:20" x14ac:dyDescent="0.3">
      <c r="A82" s="1" t="s">
        <v>234</v>
      </c>
      <c r="B82" s="1" t="s">
        <v>235</v>
      </c>
      <c r="C82" s="1" t="s">
        <v>22</v>
      </c>
      <c r="D82" s="4">
        <v>42163</v>
      </c>
      <c r="E82" s="1" t="s">
        <v>23</v>
      </c>
      <c r="F82" s="4">
        <v>33356</v>
      </c>
      <c r="G82" s="1" t="s">
        <v>216</v>
      </c>
      <c r="H82" s="1" t="s">
        <v>65</v>
      </c>
      <c r="I82" s="1" t="s">
        <v>26</v>
      </c>
      <c r="J82" s="1" t="s">
        <v>27</v>
      </c>
      <c r="K82" s="4" t="s">
        <v>28</v>
      </c>
      <c r="L82" s="1" t="s">
        <v>38</v>
      </c>
      <c r="M82" s="1" t="s">
        <v>236</v>
      </c>
      <c r="N82" s="1" t="s">
        <v>237</v>
      </c>
      <c r="O82" s="1" t="s">
        <v>67</v>
      </c>
      <c r="P82" s="1" t="s">
        <v>49</v>
      </c>
      <c r="Q82" s="2" t="s">
        <v>68</v>
      </c>
      <c r="R82" s="2" t="s">
        <v>42</v>
      </c>
      <c r="S82" s="2">
        <f t="shared" si="2"/>
        <v>2015</v>
      </c>
      <c r="T82" s="2" t="str">
        <f t="shared" si="3"/>
        <v>Jun</v>
      </c>
    </row>
    <row r="83" spans="1:20" x14ac:dyDescent="0.3">
      <c r="A83" s="1" t="s">
        <v>238</v>
      </c>
      <c r="B83" s="1" t="s">
        <v>137</v>
      </c>
      <c r="C83" s="1" t="s">
        <v>22</v>
      </c>
      <c r="D83" s="4">
        <v>42052</v>
      </c>
      <c r="E83" s="1" t="s">
        <v>23</v>
      </c>
      <c r="F83" s="4">
        <v>33024</v>
      </c>
      <c r="G83" s="1" t="s">
        <v>216</v>
      </c>
      <c r="H83" s="1" t="s">
        <v>65</v>
      </c>
      <c r="I83" s="1" t="s">
        <v>26</v>
      </c>
      <c r="J83" s="1" t="s">
        <v>27</v>
      </c>
      <c r="K83" s="4" t="s">
        <v>28</v>
      </c>
      <c r="L83" s="1" t="s">
        <v>38</v>
      </c>
      <c r="M83" s="1" t="s">
        <v>239</v>
      </c>
      <c r="N83" s="1" t="s">
        <v>139</v>
      </c>
      <c r="O83" s="1" t="s">
        <v>67</v>
      </c>
      <c r="P83" s="1" t="s">
        <v>49</v>
      </c>
      <c r="Q83" s="2" t="s">
        <v>68</v>
      </c>
      <c r="R83" s="2" t="s">
        <v>42</v>
      </c>
      <c r="S83" s="2">
        <f t="shared" si="2"/>
        <v>2015</v>
      </c>
      <c r="T83" s="2" t="str">
        <f t="shared" si="3"/>
        <v>Feb</v>
      </c>
    </row>
    <row r="84" spans="1:20" x14ac:dyDescent="0.3">
      <c r="A84" s="1" t="s">
        <v>240</v>
      </c>
      <c r="B84" s="1" t="s">
        <v>52</v>
      </c>
      <c r="C84" s="1" t="s">
        <v>206</v>
      </c>
      <c r="D84" s="4">
        <v>42260</v>
      </c>
      <c r="E84" s="1" t="s">
        <v>241</v>
      </c>
      <c r="F84" s="4">
        <v>28829</v>
      </c>
      <c r="G84" s="1" t="s">
        <v>24</v>
      </c>
      <c r="H84" s="1" t="s">
        <v>87</v>
      </c>
      <c r="I84" s="1" t="s">
        <v>26</v>
      </c>
      <c r="J84" s="1" t="s">
        <v>27</v>
      </c>
      <c r="K84" s="4" t="s">
        <v>28</v>
      </c>
      <c r="L84" s="1" t="s">
        <v>54</v>
      </c>
      <c r="M84" s="1" t="s">
        <v>242</v>
      </c>
      <c r="N84" s="1" t="s">
        <v>56</v>
      </c>
      <c r="O84" s="1" t="s">
        <v>89</v>
      </c>
      <c r="P84" s="1" t="s">
        <v>49</v>
      </c>
      <c r="Q84" s="2" t="s">
        <v>50</v>
      </c>
      <c r="R84" s="2" t="s">
        <v>42</v>
      </c>
      <c r="S84" s="2">
        <f t="shared" si="2"/>
        <v>2015</v>
      </c>
      <c r="T84" s="2" t="str">
        <f t="shared" si="3"/>
        <v>Sep</v>
      </c>
    </row>
    <row r="85" spans="1:20" x14ac:dyDescent="0.3">
      <c r="A85" s="1" t="s">
        <v>243</v>
      </c>
      <c r="B85" s="1" t="s">
        <v>52</v>
      </c>
      <c r="C85" s="1" t="s">
        <v>22</v>
      </c>
      <c r="D85" s="4">
        <v>39326</v>
      </c>
      <c r="E85" s="1" t="s">
        <v>244</v>
      </c>
      <c r="F85" s="4">
        <v>28240</v>
      </c>
      <c r="G85" s="1" t="s">
        <v>24</v>
      </c>
      <c r="H85" s="1" t="s">
        <v>53</v>
      </c>
      <c r="I85" s="1" t="s">
        <v>26</v>
      </c>
      <c r="J85" s="1" t="s">
        <v>27</v>
      </c>
      <c r="K85" s="4" t="s">
        <v>28</v>
      </c>
      <c r="L85" s="1" t="s">
        <v>54</v>
      </c>
      <c r="M85" s="1" t="s">
        <v>245</v>
      </c>
      <c r="N85" s="1" t="s">
        <v>56</v>
      </c>
      <c r="O85" s="1" t="s">
        <v>57</v>
      </c>
      <c r="P85" s="1" t="s">
        <v>49</v>
      </c>
      <c r="Q85" s="2" t="s">
        <v>50</v>
      </c>
      <c r="R85" s="2" t="s">
        <v>77</v>
      </c>
      <c r="S85" s="2">
        <f t="shared" si="2"/>
        <v>2007</v>
      </c>
      <c r="T85" s="2" t="str">
        <f t="shared" si="3"/>
        <v>Sep</v>
      </c>
    </row>
    <row r="86" spans="1:20" x14ac:dyDescent="0.3">
      <c r="A86" s="1" t="s">
        <v>246</v>
      </c>
      <c r="B86" s="1" t="s">
        <v>52</v>
      </c>
      <c r="C86" s="1" t="s">
        <v>22</v>
      </c>
      <c r="D86" s="4">
        <v>39238</v>
      </c>
      <c r="E86" s="1" t="s">
        <v>244</v>
      </c>
      <c r="F86" s="4">
        <v>29472</v>
      </c>
      <c r="G86" s="1" t="s">
        <v>24</v>
      </c>
      <c r="H86" s="1" t="s">
        <v>53</v>
      </c>
      <c r="I86" s="1" t="s">
        <v>26</v>
      </c>
      <c r="J86" s="1" t="s">
        <v>27</v>
      </c>
      <c r="K86" s="4" t="s">
        <v>28</v>
      </c>
      <c r="L86" s="1" t="s">
        <v>54</v>
      </c>
      <c r="M86" s="1" t="s">
        <v>247</v>
      </c>
      <c r="N86" s="1" t="s">
        <v>56</v>
      </c>
      <c r="O86" s="1" t="s">
        <v>57</v>
      </c>
      <c r="P86" s="1" t="s">
        <v>49</v>
      </c>
      <c r="Q86" s="2" t="s">
        <v>50</v>
      </c>
      <c r="R86" s="2" t="s">
        <v>77</v>
      </c>
      <c r="S86" s="2">
        <f t="shared" si="2"/>
        <v>2007</v>
      </c>
      <c r="T86" s="2" t="str">
        <f t="shared" si="3"/>
        <v>Jun</v>
      </c>
    </row>
    <row r="87" spans="1:20" x14ac:dyDescent="0.3">
      <c r="A87" s="1" t="s">
        <v>248</v>
      </c>
      <c r="B87" s="1" t="s">
        <v>52</v>
      </c>
      <c r="C87" s="1" t="s">
        <v>22</v>
      </c>
      <c r="D87" s="4">
        <v>40530</v>
      </c>
      <c r="E87" s="1" t="s">
        <v>249</v>
      </c>
      <c r="F87" s="4">
        <v>33279</v>
      </c>
      <c r="G87" s="1" t="s">
        <v>24</v>
      </c>
      <c r="H87" s="1" t="s">
        <v>87</v>
      </c>
      <c r="I87" s="1" t="s">
        <v>26</v>
      </c>
      <c r="J87" s="1" t="s">
        <v>27</v>
      </c>
      <c r="K87" s="4" t="s">
        <v>28</v>
      </c>
      <c r="L87" s="1" t="s">
        <v>54</v>
      </c>
      <c r="M87" s="1" t="s">
        <v>250</v>
      </c>
      <c r="N87" s="1" t="s">
        <v>56</v>
      </c>
      <c r="O87" s="1" t="s">
        <v>89</v>
      </c>
      <c r="P87" s="1" t="s">
        <v>49</v>
      </c>
      <c r="Q87" s="2" t="s">
        <v>68</v>
      </c>
      <c r="R87" s="2" t="s">
        <v>77</v>
      </c>
      <c r="S87" s="2">
        <f t="shared" si="2"/>
        <v>2010</v>
      </c>
      <c r="T87" s="2" t="str">
        <f t="shared" si="3"/>
        <v>Dec</v>
      </c>
    </row>
    <row r="88" spans="1:20" x14ac:dyDescent="0.3">
      <c r="A88" s="1" t="s">
        <v>251</v>
      </c>
      <c r="B88" s="1" t="s">
        <v>79</v>
      </c>
      <c r="C88" s="1" t="s">
        <v>22</v>
      </c>
      <c r="D88" s="4">
        <v>35374</v>
      </c>
      <c r="E88" s="1" t="s">
        <v>244</v>
      </c>
      <c r="F88" s="4">
        <v>26299</v>
      </c>
      <c r="G88" s="1" t="s">
        <v>24</v>
      </c>
      <c r="H88" s="1" t="s">
        <v>126</v>
      </c>
      <c r="I88" s="1" t="s">
        <v>26</v>
      </c>
      <c r="J88" s="1" t="s">
        <v>27</v>
      </c>
      <c r="K88" s="4" t="s">
        <v>28</v>
      </c>
      <c r="L88" s="1" t="s">
        <v>80</v>
      </c>
      <c r="M88" s="1" t="s">
        <v>252</v>
      </c>
      <c r="N88" s="1" t="s">
        <v>82</v>
      </c>
      <c r="O88" s="1" t="s">
        <v>57</v>
      </c>
      <c r="P88" s="1" t="s">
        <v>49</v>
      </c>
      <c r="Q88" s="2" t="s">
        <v>58</v>
      </c>
      <c r="R88" s="2" t="s">
        <v>34</v>
      </c>
      <c r="S88" s="2">
        <f t="shared" si="2"/>
        <v>1996</v>
      </c>
      <c r="T88" s="2" t="str">
        <f t="shared" si="3"/>
        <v>Nov</v>
      </c>
    </row>
    <row r="89" spans="1:20" x14ac:dyDescent="0.3">
      <c r="A89" s="1" t="s">
        <v>253</v>
      </c>
      <c r="B89" s="1" t="s">
        <v>52</v>
      </c>
      <c r="C89" s="1" t="s">
        <v>22</v>
      </c>
      <c r="D89" s="4">
        <v>40936</v>
      </c>
      <c r="E89" s="1" t="s">
        <v>244</v>
      </c>
      <c r="F89" s="4">
        <v>30426</v>
      </c>
      <c r="G89" s="1" t="s">
        <v>24</v>
      </c>
      <c r="H89" s="1" t="s">
        <v>53</v>
      </c>
      <c r="I89" s="1" t="s">
        <v>26</v>
      </c>
      <c r="J89" s="1" t="s">
        <v>27</v>
      </c>
      <c r="K89" s="4" t="s">
        <v>28</v>
      </c>
      <c r="L89" s="1" t="s">
        <v>54</v>
      </c>
      <c r="M89" s="1" t="s">
        <v>254</v>
      </c>
      <c r="N89" s="1" t="s">
        <v>56</v>
      </c>
      <c r="O89" s="1" t="s">
        <v>57</v>
      </c>
      <c r="P89" s="1" t="s">
        <v>49</v>
      </c>
      <c r="Q89" s="2" t="s">
        <v>61</v>
      </c>
      <c r="R89" s="2" t="s">
        <v>77</v>
      </c>
      <c r="S89" s="2">
        <f t="shared" si="2"/>
        <v>2012</v>
      </c>
      <c r="T89" s="2" t="str">
        <f t="shared" si="3"/>
        <v>Jan</v>
      </c>
    </row>
    <row r="90" spans="1:20" x14ac:dyDescent="0.3">
      <c r="A90" s="1" t="s">
        <v>255</v>
      </c>
      <c r="B90" s="1" t="s">
        <v>52</v>
      </c>
      <c r="C90" s="1" t="s">
        <v>22</v>
      </c>
      <c r="D90" s="4">
        <v>40914</v>
      </c>
      <c r="E90" s="1" t="s">
        <v>244</v>
      </c>
      <c r="F90" s="4">
        <v>32946</v>
      </c>
      <c r="G90" s="1" t="s">
        <v>216</v>
      </c>
      <c r="H90" s="1" t="s">
        <v>53</v>
      </c>
      <c r="I90" s="1" t="s">
        <v>26</v>
      </c>
      <c r="J90" s="1" t="s">
        <v>27</v>
      </c>
      <c r="K90" s="4" t="s">
        <v>28</v>
      </c>
      <c r="L90" s="1" t="s">
        <v>54</v>
      </c>
      <c r="M90" s="1" t="s">
        <v>256</v>
      </c>
      <c r="N90" s="1" t="s">
        <v>56</v>
      </c>
      <c r="O90" s="1" t="s">
        <v>57</v>
      </c>
      <c r="P90" s="1" t="s">
        <v>49</v>
      </c>
      <c r="Q90" s="2" t="s">
        <v>68</v>
      </c>
      <c r="R90" s="2" t="s">
        <v>77</v>
      </c>
      <c r="S90" s="2">
        <f t="shared" si="2"/>
        <v>2012</v>
      </c>
      <c r="T90" s="2" t="str">
        <f t="shared" si="3"/>
        <v>Jan</v>
      </c>
    </row>
    <row r="91" spans="1:20" x14ac:dyDescent="0.3">
      <c r="A91" s="1" t="s">
        <v>257</v>
      </c>
      <c r="B91" s="1" t="s">
        <v>52</v>
      </c>
      <c r="C91" s="1" t="s">
        <v>22</v>
      </c>
      <c r="D91" s="4">
        <v>41609</v>
      </c>
      <c r="E91" s="1" t="s">
        <v>244</v>
      </c>
      <c r="F91" s="4">
        <v>29952</v>
      </c>
      <c r="G91" s="1" t="s">
        <v>24</v>
      </c>
      <c r="H91" s="1" t="s">
        <v>53</v>
      </c>
      <c r="I91" s="1" t="s">
        <v>26</v>
      </c>
      <c r="J91" s="1" t="s">
        <v>27</v>
      </c>
      <c r="K91" s="4" t="s">
        <v>28</v>
      </c>
      <c r="L91" s="1" t="s">
        <v>54</v>
      </c>
      <c r="M91" s="1" t="s">
        <v>258</v>
      </c>
      <c r="N91" s="1" t="s">
        <v>56</v>
      </c>
      <c r="O91" s="1" t="s">
        <v>57</v>
      </c>
      <c r="P91" s="1" t="s">
        <v>49</v>
      </c>
      <c r="Q91" s="2" t="s">
        <v>61</v>
      </c>
      <c r="R91" s="2" t="s">
        <v>83</v>
      </c>
      <c r="S91" s="2">
        <f t="shared" si="2"/>
        <v>2013</v>
      </c>
      <c r="T91" s="2" t="str">
        <f t="shared" si="3"/>
        <v>Dec</v>
      </c>
    </row>
    <row r="92" spans="1:20" x14ac:dyDescent="0.3">
      <c r="A92" s="1" t="s">
        <v>259</v>
      </c>
      <c r="B92" s="1" t="s">
        <v>52</v>
      </c>
      <c r="C92" s="1" t="s">
        <v>22</v>
      </c>
      <c r="D92" s="4">
        <v>41919</v>
      </c>
      <c r="E92" s="1" t="s">
        <v>244</v>
      </c>
      <c r="F92" s="4">
        <v>29952</v>
      </c>
      <c r="G92" s="1" t="s">
        <v>24</v>
      </c>
      <c r="H92" s="1" t="s">
        <v>53</v>
      </c>
      <c r="I92" s="1" t="s">
        <v>26</v>
      </c>
      <c r="J92" s="1" t="s">
        <v>27</v>
      </c>
      <c r="K92" s="4" t="s">
        <v>28</v>
      </c>
      <c r="L92" s="1" t="s">
        <v>54</v>
      </c>
      <c r="M92" s="1" t="s">
        <v>260</v>
      </c>
      <c r="N92" s="1" t="s">
        <v>56</v>
      </c>
      <c r="O92" s="1" t="s">
        <v>57</v>
      </c>
      <c r="P92" s="1" t="s">
        <v>49</v>
      </c>
      <c r="Q92" s="2" t="s">
        <v>61</v>
      </c>
      <c r="R92" s="2" t="s">
        <v>42</v>
      </c>
      <c r="S92" s="2">
        <f t="shared" si="2"/>
        <v>2014</v>
      </c>
      <c r="T92" s="2" t="str">
        <f t="shared" si="3"/>
        <v>Oct</v>
      </c>
    </row>
    <row r="93" spans="1:20" x14ac:dyDescent="0.3">
      <c r="A93" s="1" t="s">
        <v>261</v>
      </c>
      <c r="B93" s="1" t="s">
        <v>52</v>
      </c>
      <c r="C93" s="1" t="s">
        <v>22</v>
      </c>
      <c r="D93" s="4">
        <v>38684</v>
      </c>
      <c r="E93" s="1" t="s">
        <v>241</v>
      </c>
      <c r="F93" s="4">
        <v>26971</v>
      </c>
      <c r="G93" s="1" t="s">
        <v>24</v>
      </c>
      <c r="H93" s="1" t="s">
        <v>87</v>
      </c>
      <c r="I93" s="1" t="s">
        <v>26</v>
      </c>
      <c r="J93" s="1" t="s">
        <v>27</v>
      </c>
      <c r="K93" s="4" t="s">
        <v>28</v>
      </c>
      <c r="L93" s="1" t="s">
        <v>54</v>
      </c>
      <c r="M93" s="1" t="s">
        <v>262</v>
      </c>
      <c r="N93" s="1" t="s">
        <v>56</v>
      </c>
      <c r="O93" s="1" t="s">
        <v>89</v>
      </c>
      <c r="P93" s="1" t="s">
        <v>49</v>
      </c>
      <c r="Q93" s="2" t="s">
        <v>58</v>
      </c>
      <c r="R93" s="2" t="s">
        <v>34</v>
      </c>
      <c r="S93" s="2">
        <f t="shared" si="2"/>
        <v>2005</v>
      </c>
      <c r="T93" s="2" t="str">
        <f t="shared" si="3"/>
        <v>Nov</v>
      </c>
    </row>
    <row r="94" spans="1:20" x14ac:dyDescent="0.3">
      <c r="A94" s="1" t="s">
        <v>263</v>
      </c>
      <c r="B94" s="1" t="s">
        <v>52</v>
      </c>
      <c r="C94" s="1" t="s">
        <v>22</v>
      </c>
      <c r="D94" s="4">
        <v>38689</v>
      </c>
      <c r="E94" s="1" t="s">
        <v>241</v>
      </c>
      <c r="F94" s="4">
        <v>25007</v>
      </c>
      <c r="G94" s="1" t="s">
        <v>24</v>
      </c>
      <c r="H94" s="1" t="s">
        <v>53</v>
      </c>
      <c r="I94" s="1" t="s">
        <v>26</v>
      </c>
      <c r="J94" s="1" t="s">
        <v>27</v>
      </c>
      <c r="K94" s="4" t="s">
        <v>28</v>
      </c>
      <c r="L94" s="1" t="s">
        <v>54</v>
      </c>
      <c r="M94" s="1" t="s">
        <v>264</v>
      </c>
      <c r="N94" s="1" t="s">
        <v>56</v>
      </c>
      <c r="O94" s="1" t="s">
        <v>57</v>
      </c>
      <c r="P94" s="1" t="s">
        <v>49</v>
      </c>
      <c r="Q94" s="2" t="s">
        <v>96</v>
      </c>
      <c r="R94" s="2" t="s">
        <v>34</v>
      </c>
      <c r="S94" s="2">
        <f t="shared" si="2"/>
        <v>2005</v>
      </c>
      <c r="T94" s="2" t="str">
        <f t="shared" si="3"/>
        <v>Dec</v>
      </c>
    </row>
    <row r="95" spans="1:20" x14ac:dyDescent="0.3">
      <c r="A95" s="1" t="s">
        <v>265</v>
      </c>
      <c r="B95" s="1" t="s">
        <v>52</v>
      </c>
      <c r="C95" s="1" t="s">
        <v>22</v>
      </c>
      <c r="D95" s="4">
        <v>36904</v>
      </c>
      <c r="E95" s="1" t="s">
        <v>244</v>
      </c>
      <c r="F95" s="4">
        <v>25720</v>
      </c>
      <c r="G95" s="1" t="s">
        <v>24</v>
      </c>
      <c r="H95" s="1" t="s">
        <v>53</v>
      </c>
      <c r="I95" s="1" t="s">
        <v>26</v>
      </c>
      <c r="J95" s="1" t="s">
        <v>27</v>
      </c>
      <c r="K95" s="4" t="s">
        <v>28</v>
      </c>
      <c r="L95" s="1" t="s">
        <v>54</v>
      </c>
      <c r="M95" s="1" t="s">
        <v>266</v>
      </c>
      <c r="N95" s="1" t="s">
        <v>56</v>
      </c>
      <c r="O95" s="1" t="s">
        <v>57</v>
      </c>
      <c r="P95" s="1" t="s">
        <v>49</v>
      </c>
      <c r="Q95" s="2" t="s">
        <v>96</v>
      </c>
      <c r="R95" s="2" t="s">
        <v>34</v>
      </c>
      <c r="S95" s="2">
        <f t="shared" si="2"/>
        <v>2001</v>
      </c>
      <c r="T95" s="2" t="str">
        <f t="shared" si="3"/>
        <v>Jan</v>
      </c>
    </row>
    <row r="96" spans="1:20" x14ac:dyDescent="0.3">
      <c r="A96" s="1" t="s">
        <v>267</v>
      </c>
      <c r="B96" s="1" t="s">
        <v>79</v>
      </c>
      <c r="C96" s="1" t="s">
        <v>22</v>
      </c>
      <c r="D96" s="4">
        <v>38623</v>
      </c>
      <c r="E96" s="1" t="s">
        <v>244</v>
      </c>
      <c r="F96" s="4">
        <v>29221</v>
      </c>
      <c r="G96" s="1" t="s">
        <v>24</v>
      </c>
      <c r="H96" s="1" t="s">
        <v>126</v>
      </c>
      <c r="I96" s="1" t="s">
        <v>26</v>
      </c>
      <c r="J96" s="1" t="s">
        <v>27</v>
      </c>
      <c r="K96" s="4" t="s">
        <v>28</v>
      </c>
      <c r="L96" s="1" t="s">
        <v>80</v>
      </c>
      <c r="M96" s="1" t="s">
        <v>268</v>
      </c>
      <c r="N96" s="1" t="s">
        <v>82</v>
      </c>
      <c r="O96" s="1" t="s">
        <v>57</v>
      </c>
      <c r="P96" s="1" t="s">
        <v>49</v>
      </c>
      <c r="Q96" s="2" t="s">
        <v>50</v>
      </c>
      <c r="R96" s="2" t="s">
        <v>34</v>
      </c>
      <c r="S96" s="2">
        <f t="shared" si="2"/>
        <v>2005</v>
      </c>
      <c r="T96" s="2" t="str">
        <f t="shared" si="3"/>
        <v>Sep</v>
      </c>
    </row>
    <row r="97" spans="1:20" x14ac:dyDescent="0.3">
      <c r="A97" s="1" t="s">
        <v>269</v>
      </c>
      <c r="B97" s="1" t="s">
        <v>79</v>
      </c>
      <c r="C97" s="1" t="s">
        <v>22</v>
      </c>
      <c r="D97" s="4">
        <v>38629</v>
      </c>
      <c r="E97" s="1" t="s">
        <v>244</v>
      </c>
      <c r="F97" s="4">
        <v>29271</v>
      </c>
      <c r="G97" s="1" t="s">
        <v>24</v>
      </c>
      <c r="H97" s="1" t="s">
        <v>53</v>
      </c>
      <c r="I97" s="1" t="s">
        <v>26</v>
      </c>
      <c r="J97" s="1" t="s">
        <v>27</v>
      </c>
      <c r="K97" s="4" t="s">
        <v>28</v>
      </c>
      <c r="L97" s="1" t="s">
        <v>80</v>
      </c>
      <c r="M97" s="1" t="s">
        <v>270</v>
      </c>
      <c r="N97" s="1" t="s">
        <v>82</v>
      </c>
      <c r="O97" s="1" t="s">
        <v>57</v>
      </c>
      <c r="P97" s="1" t="s">
        <v>49</v>
      </c>
      <c r="Q97" s="2" t="s">
        <v>50</v>
      </c>
      <c r="R97" s="2" t="s">
        <v>34</v>
      </c>
      <c r="S97" s="2">
        <f t="shared" si="2"/>
        <v>2005</v>
      </c>
      <c r="T97" s="2" t="str">
        <f t="shared" si="3"/>
        <v>Oct</v>
      </c>
    </row>
    <row r="98" spans="1:20" x14ac:dyDescent="0.3">
      <c r="A98" s="1" t="s">
        <v>271</v>
      </c>
      <c r="B98" s="1" t="s">
        <v>201</v>
      </c>
      <c r="C98" s="1" t="s">
        <v>22</v>
      </c>
      <c r="D98" s="4">
        <v>38637</v>
      </c>
      <c r="E98" s="1" t="s">
        <v>241</v>
      </c>
      <c r="F98" s="4">
        <v>30509</v>
      </c>
      <c r="G98" s="1" t="s">
        <v>24</v>
      </c>
      <c r="H98" s="1" t="s">
        <v>93</v>
      </c>
      <c r="I98" s="1" t="s">
        <v>26</v>
      </c>
      <c r="J98" s="1" t="s">
        <v>27</v>
      </c>
      <c r="K98" s="4" t="s">
        <v>28</v>
      </c>
      <c r="L98" s="1" t="s">
        <v>38</v>
      </c>
      <c r="M98" s="1" t="s">
        <v>272</v>
      </c>
      <c r="N98" s="1" t="s">
        <v>203</v>
      </c>
      <c r="O98" s="1" t="s">
        <v>95</v>
      </c>
      <c r="P98" s="1" t="s">
        <v>32</v>
      </c>
      <c r="Q98" s="2" t="s">
        <v>61</v>
      </c>
      <c r="R98" s="2" t="s">
        <v>34</v>
      </c>
      <c r="S98" s="2">
        <f t="shared" si="2"/>
        <v>2005</v>
      </c>
      <c r="T98" s="2" t="str">
        <f t="shared" si="3"/>
        <v>Oct</v>
      </c>
    </row>
    <row r="99" spans="1:20" x14ac:dyDescent="0.3">
      <c r="A99" s="1" t="s">
        <v>273</v>
      </c>
      <c r="B99" s="1" t="s">
        <v>79</v>
      </c>
      <c r="C99" s="1" t="s">
        <v>22</v>
      </c>
      <c r="D99" s="4">
        <v>38602</v>
      </c>
      <c r="E99" s="1" t="s">
        <v>244</v>
      </c>
      <c r="F99" s="4">
        <v>26299</v>
      </c>
      <c r="G99" s="1" t="s">
        <v>24</v>
      </c>
      <c r="H99" s="1" t="s">
        <v>126</v>
      </c>
      <c r="I99" s="1" t="s">
        <v>26</v>
      </c>
      <c r="J99" s="1" t="s">
        <v>27</v>
      </c>
      <c r="K99" s="4" t="s">
        <v>28</v>
      </c>
      <c r="L99" s="1" t="s">
        <v>80</v>
      </c>
      <c r="M99" s="1" t="s">
        <v>274</v>
      </c>
      <c r="N99" s="1" t="s">
        <v>82</v>
      </c>
      <c r="O99" s="1" t="s">
        <v>57</v>
      </c>
      <c r="P99" s="1" t="s">
        <v>49</v>
      </c>
      <c r="Q99" s="2" t="s">
        <v>58</v>
      </c>
      <c r="R99" s="2" t="s">
        <v>34</v>
      </c>
      <c r="S99" s="2">
        <f t="shared" si="2"/>
        <v>2005</v>
      </c>
      <c r="T99" s="2" t="str">
        <f t="shared" si="3"/>
        <v>Sep</v>
      </c>
    </row>
    <row r="100" spans="1:20" x14ac:dyDescent="0.3">
      <c r="A100" s="1" t="s">
        <v>275</v>
      </c>
      <c r="B100" s="1" t="s">
        <v>79</v>
      </c>
      <c r="C100" s="1" t="s">
        <v>22</v>
      </c>
      <c r="D100" s="4">
        <v>39244</v>
      </c>
      <c r="E100" s="1" t="s">
        <v>244</v>
      </c>
      <c r="F100" s="4">
        <v>25602</v>
      </c>
      <c r="G100" s="1" t="s">
        <v>24</v>
      </c>
      <c r="H100" s="1" t="s">
        <v>126</v>
      </c>
      <c r="I100" s="1" t="s">
        <v>26</v>
      </c>
      <c r="J100" s="1" t="s">
        <v>27</v>
      </c>
      <c r="K100" s="4" t="s">
        <v>28</v>
      </c>
      <c r="L100" s="1" t="s">
        <v>80</v>
      </c>
      <c r="M100" s="1" t="s">
        <v>276</v>
      </c>
      <c r="N100" s="1" t="s">
        <v>82</v>
      </c>
      <c r="O100" s="1" t="s">
        <v>57</v>
      </c>
      <c r="P100" s="1" t="s">
        <v>49</v>
      </c>
      <c r="Q100" s="2" t="s">
        <v>96</v>
      </c>
      <c r="R100" s="2" t="s">
        <v>77</v>
      </c>
      <c r="S100" s="2">
        <f t="shared" si="2"/>
        <v>2007</v>
      </c>
      <c r="T100" s="2" t="str">
        <f t="shared" si="3"/>
        <v>Jun</v>
      </c>
    </row>
    <row r="101" spans="1:20" x14ac:dyDescent="0.3">
      <c r="A101" s="1" t="s">
        <v>277</v>
      </c>
      <c r="B101" s="1" t="s">
        <v>79</v>
      </c>
      <c r="C101" s="1" t="s">
        <v>22</v>
      </c>
      <c r="D101" s="4">
        <v>39536</v>
      </c>
      <c r="E101" s="1" t="s">
        <v>244</v>
      </c>
      <c r="F101" s="4">
        <v>31477</v>
      </c>
      <c r="G101" s="1" t="s">
        <v>24</v>
      </c>
      <c r="H101" s="1" t="s">
        <v>126</v>
      </c>
      <c r="I101" s="1" t="s">
        <v>26</v>
      </c>
      <c r="J101" s="1" t="s">
        <v>27</v>
      </c>
      <c r="K101" s="4" t="s">
        <v>28</v>
      </c>
      <c r="L101" s="1" t="s">
        <v>80</v>
      </c>
      <c r="M101" s="1" t="s">
        <v>278</v>
      </c>
      <c r="N101" s="1" t="s">
        <v>82</v>
      </c>
      <c r="O101" s="1" t="s">
        <v>57</v>
      </c>
      <c r="P101" s="1" t="s">
        <v>49</v>
      </c>
      <c r="Q101" s="2" t="s">
        <v>61</v>
      </c>
      <c r="R101" s="2" t="s">
        <v>77</v>
      </c>
      <c r="S101" s="2">
        <f t="shared" si="2"/>
        <v>2008</v>
      </c>
      <c r="T101" s="2" t="str">
        <f t="shared" si="3"/>
        <v>Mar</v>
      </c>
    </row>
    <row r="102" spans="1:20" x14ac:dyDescent="0.3">
      <c r="A102" s="1" t="s">
        <v>279</v>
      </c>
      <c r="B102" s="1" t="s">
        <v>79</v>
      </c>
      <c r="C102" s="1" t="s">
        <v>22</v>
      </c>
      <c r="D102" s="4">
        <v>39581</v>
      </c>
      <c r="E102" s="1" t="s">
        <v>244</v>
      </c>
      <c r="F102" s="4">
        <v>31440</v>
      </c>
      <c r="G102" s="1" t="s">
        <v>216</v>
      </c>
      <c r="H102" s="1" t="s">
        <v>53</v>
      </c>
      <c r="I102" s="1" t="s">
        <v>26</v>
      </c>
      <c r="J102" s="1" t="s">
        <v>27</v>
      </c>
      <c r="K102" s="4" t="s">
        <v>28</v>
      </c>
      <c r="L102" s="1" t="s">
        <v>80</v>
      </c>
      <c r="M102" s="1" t="s">
        <v>280</v>
      </c>
      <c r="N102" s="1" t="s">
        <v>82</v>
      </c>
      <c r="O102" s="1" t="s">
        <v>57</v>
      </c>
      <c r="P102" s="1" t="s">
        <v>49</v>
      </c>
      <c r="Q102" s="2" t="s">
        <v>61</v>
      </c>
      <c r="R102" s="2" t="s">
        <v>77</v>
      </c>
      <c r="S102" s="2">
        <f t="shared" si="2"/>
        <v>2008</v>
      </c>
      <c r="T102" s="2" t="str">
        <f t="shared" si="3"/>
        <v>May</v>
      </c>
    </row>
    <row r="103" spans="1:20" x14ac:dyDescent="0.3">
      <c r="A103" s="1" t="s">
        <v>281</v>
      </c>
      <c r="B103" s="1" t="s">
        <v>79</v>
      </c>
      <c r="C103" s="1" t="s">
        <v>22</v>
      </c>
      <c r="D103" s="4">
        <v>39618</v>
      </c>
      <c r="E103" s="1" t="s">
        <v>244</v>
      </c>
      <c r="F103" s="4">
        <v>36330</v>
      </c>
      <c r="G103" s="1" t="s">
        <v>216</v>
      </c>
      <c r="H103" s="1" t="s">
        <v>53</v>
      </c>
      <c r="I103" s="1" t="s">
        <v>26</v>
      </c>
      <c r="J103" s="1" t="s">
        <v>27</v>
      </c>
      <c r="K103" s="4" t="s">
        <v>28</v>
      </c>
      <c r="L103" s="1" t="s">
        <v>80</v>
      </c>
      <c r="M103" s="1" t="s">
        <v>282</v>
      </c>
      <c r="N103" s="1" t="s">
        <v>82</v>
      </c>
      <c r="O103" s="1" t="s">
        <v>57</v>
      </c>
      <c r="P103" s="1" t="s">
        <v>49</v>
      </c>
      <c r="Q103" s="2" t="s">
        <v>283</v>
      </c>
      <c r="R103" s="2" t="s">
        <v>77</v>
      </c>
      <c r="S103" s="2">
        <f t="shared" si="2"/>
        <v>2008</v>
      </c>
      <c r="T103" s="2" t="str">
        <f t="shared" si="3"/>
        <v>Jun</v>
      </c>
    </row>
    <row r="104" spans="1:20" x14ac:dyDescent="0.3">
      <c r="A104" s="1" t="s">
        <v>284</v>
      </c>
      <c r="B104" s="1" t="s">
        <v>158</v>
      </c>
      <c r="C104" s="1" t="s">
        <v>22</v>
      </c>
      <c r="D104" s="4">
        <v>39737</v>
      </c>
      <c r="E104" s="1" t="s">
        <v>285</v>
      </c>
      <c r="F104" s="4">
        <v>25151</v>
      </c>
      <c r="G104" s="1" t="s">
        <v>24</v>
      </c>
      <c r="H104" s="1" t="s">
        <v>159</v>
      </c>
      <c r="I104" s="1" t="s">
        <v>26</v>
      </c>
      <c r="J104" s="1" t="s">
        <v>27</v>
      </c>
      <c r="K104" s="4" t="s">
        <v>28</v>
      </c>
      <c r="L104" s="1" t="s">
        <v>38</v>
      </c>
      <c r="M104" s="1" t="s">
        <v>286</v>
      </c>
      <c r="N104" s="1" t="s">
        <v>161</v>
      </c>
      <c r="O104" s="1" t="s">
        <v>162</v>
      </c>
      <c r="P104" s="1" t="s">
        <v>49</v>
      </c>
      <c r="Q104" s="2" t="s">
        <v>96</v>
      </c>
      <c r="R104" s="2" t="s">
        <v>77</v>
      </c>
      <c r="S104" s="2">
        <f t="shared" si="2"/>
        <v>2008</v>
      </c>
      <c r="T104" s="2" t="str">
        <f t="shared" si="3"/>
        <v>Oct</v>
      </c>
    </row>
    <row r="105" spans="1:20" x14ac:dyDescent="0.3">
      <c r="A105" s="1" t="s">
        <v>235</v>
      </c>
      <c r="B105" s="1" t="s">
        <v>35</v>
      </c>
      <c r="C105" s="1" t="s">
        <v>22</v>
      </c>
      <c r="D105" s="4">
        <v>40230</v>
      </c>
      <c r="E105" s="1" t="s">
        <v>287</v>
      </c>
      <c r="F105" s="4">
        <v>31200</v>
      </c>
      <c r="G105" s="1" t="s">
        <v>216</v>
      </c>
      <c r="H105" s="1" t="s">
        <v>45</v>
      </c>
      <c r="I105" s="1" t="s">
        <v>26</v>
      </c>
      <c r="J105" s="1" t="s">
        <v>27</v>
      </c>
      <c r="K105" s="4" t="s">
        <v>28</v>
      </c>
      <c r="L105" s="1" t="s">
        <v>38</v>
      </c>
      <c r="M105" s="1" t="s">
        <v>237</v>
      </c>
      <c r="N105" s="1" t="s">
        <v>39</v>
      </c>
      <c r="O105" s="1" t="s">
        <v>48</v>
      </c>
      <c r="P105" s="1" t="s">
        <v>49</v>
      </c>
      <c r="Q105" s="2" t="s">
        <v>61</v>
      </c>
      <c r="R105" s="2" t="s">
        <v>77</v>
      </c>
      <c r="S105" s="2">
        <f t="shared" si="2"/>
        <v>2010</v>
      </c>
      <c r="T105" s="2" t="str">
        <f t="shared" si="3"/>
        <v>Feb</v>
      </c>
    </row>
    <row r="106" spans="1:20" x14ac:dyDescent="0.3">
      <c r="A106" s="1" t="s">
        <v>288</v>
      </c>
      <c r="B106" s="1" t="s">
        <v>20</v>
      </c>
      <c r="C106" s="1" t="s">
        <v>206</v>
      </c>
      <c r="D106" s="4">
        <v>40336</v>
      </c>
      <c r="E106" s="1" t="s">
        <v>289</v>
      </c>
      <c r="F106" s="4">
        <v>29755</v>
      </c>
      <c r="G106" s="1" t="s">
        <v>216</v>
      </c>
      <c r="H106" s="1" t="s">
        <v>93</v>
      </c>
      <c r="I106" s="1" t="s">
        <v>26</v>
      </c>
      <c r="J106" s="1" t="s">
        <v>27</v>
      </c>
      <c r="K106" s="4" t="s">
        <v>28</v>
      </c>
      <c r="L106" s="1" t="s">
        <v>38</v>
      </c>
      <c r="M106" s="1" t="s">
        <v>290</v>
      </c>
      <c r="N106" s="1" t="s">
        <v>30</v>
      </c>
      <c r="O106" s="1" t="s">
        <v>95</v>
      </c>
      <c r="P106" s="1" t="s">
        <v>32</v>
      </c>
      <c r="Q106" s="2" t="s">
        <v>61</v>
      </c>
      <c r="R106" s="2" t="s">
        <v>77</v>
      </c>
      <c r="S106" s="2">
        <f t="shared" si="2"/>
        <v>2010</v>
      </c>
      <c r="T106" s="2" t="str">
        <f t="shared" si="3"/>
        <v>Jun</v>
      </c>
    </row>
    <row r="107" spans="1:20" x14ac:dyDescent="0.3">
      <c r="A107" s="1" t="s">
        <v>291</v>
      </c>
      <c r="B107" s="1" t="s">
        <v>20</v>
      </c>
      <c r="C107" s="1" t="s">
        <v>206</v>
      </c>
      <c r="D107" s="4">
        <v>40422</v>
      </c>
      <c r="E107" s="1" t="s">
        <v>292</v>
      </c>
      <c r="F107" s="4">
        <v>28019</v>
      </c>
      <c r="G107" s="1" t="s">
        <v>216</v>
      </c>
      <c r="H107" s="1" t="s">
        <v>159</v>
      </c>
      <c r="I107" s="1" t="s">
        <v>26</v>
      </c>
      <c r="J107" s="1" t="s">
        <v>27</v>
      </c>
      <c r="K107" s="4" t="s">
        <v>28</v>
      </c>
      <c r="L107" s="1" t="s">
        <v>38</v>
      </c>
      <c r="M107" s="1" t="s">
        <v>293</v>
      </c>
      <c r="N107" s="1" t="s">
        <v>30</v>
      </c>
      <c r="O107" s="1" t="s">
        <v>162</v>
      </c>
      <c r="P107" s="1" t="s">
        <v>49</v>
      </c>
      <c r="Q107" s="2" t="s">
        <v>50</v>
      </c>
      <c r="R107" s="2" t="s">
        <v>77</v>
      </c>
      <c r="S107" s="2">
        <f t="shared" si="2"/>
        <v>2010</v>
      </c>
      <c r="T107" s="2" t="str">
        <f t="shared" si="3"/>
        <v>Sep</v>
      </c>
    </row>
    <row r="108" spans="1:20" x14ac:dyDescent="0.3">
      <c r="A108" s="1" t="s">
        <v>158</v>
      </c>
      <c r="B108" s="1" t="s">
        <v>20</v>
      </c>
      <c r="C108" s="1" t="s">
        <v>206</v>
      </c>
      <c r="D108" s="4">
        <v>40472</v>
      </c>
      <c r="E108" s="1" t="s">
        <v>294</v>
      </c>
      <c r="F108" s="4">
        <v>30910</v>
      </c>
      <c r="G108" s="1" t="s">
        <v>216</v>
      </c>
      <c r="H108" s="1" t="s">
        <v>103</v>
      </c>
      <c r="I108" s="1" t="s">
        <v>26</v>
      </c>
      <c r="J108" s="1" t="s">
        <v>27</v>
      </c>
      <c r="K108" s="4" t="s">
        <v>28</v>
      </c>
      <c r="L108" s="1" t="s">
        <v>38</v>
      </c>
      <c r="M108" s="1" t="s">
        <v>161</v>
      </c>
      <c r="N108" s="1" t="s">
        <v>30</v>
      </c>
      <c r="O108" s="1" t="s">
        <v>104</v>
      </c>
      <c r="P108" s="1" t="s">
        <v>32</v>
      </c>
      <c r="Q108" s="2" t="s">
        <v>61</v>
      </c>
      <c r="R108" s="2" t="s">
        <v>77</v>
      </c>
      <c r="S108" s="2">
        <f t="shared" si="2"/>
        <v>2010</v>
      </c>
      <c r="T108" s="2" t="str">
        <f t="shared" si="3"/>
        <v>Oct</v>
      </c>
    </row>
    <row r="109" spans="1:20" x14ac:dyDescent="0.3">
      <c r="A109" s="1" t="s">
        <v>295</v>
      </c>
      <c r="B109" s="1" t="s">
        <v>35</v>
      </c>
      <c r="C109" s="1" t="s">
        <v>22</v>
      </c>
      <c r="D109" s="4">
        <v>40496</v>
      </c>
      <c r="E109" s="1" t="s">
        <v>249</v>
      </c>
      <c r="F109" s="4">
        <v>31690</v>
      </c>
      <c r="G109" s="1" t="s">
        <v>24</v>
      </c>
      <c r="H109" s="1" t="s">
        <v>126</v>
      </c>
      <c r="I109" s="1" t="s">
        <v>26</v>
      </c>
      <c r="J109" s="1" t="s">
        <v>27</v>
      </c>
      <c r="K109" s="4" t="s">
        <v>28</v>
      </c>
      <c r="L109" s="1" t="s">
        <v>29</v>
      </c>
      <c r="M109" s="1" t="s">
        <v>296</v>
      </c>
      <c r="N109" s="1" t="s">
        <v>39</v>
      </c>
      <c r="O109" s="1" t="s">
        <v>57</v>
      </c>
      <c r="P109" s="1" t="s">
        <v>49</v>
      </c>
      <c r="Q109" s="2" t="s">
        <v>68</v>
      </c>
      <c r="R109" s="2" t="s">
        <v>77</v>
      </c>
      <c r="S109" s="2">
        <f t="shared" si="2"/>
        <v>2010</v>
      </c>
      <c r="T109" s="2" t="str">
        <f t="shared" si="3"/>
        <v>Nov</v>
      </c>
    </row>
    <row r="110" spans="1:20" x14ac:dyDescent="0.3">
      <c r="A110" s="1" t="s">
        <v>297</v>
      </c>
      <c r="B110" s="1" t="s">
        <v>79</v>
      </c>
      <c r="C110" s="1" t="s">
        <v>22</v>
      </c>
      <c r="D110" s="4">
        <v>40525</v>
      </c>
      <c r="E110" s="1" t="s">
        <v>241</v>
      </c>
      <c r="F110" s="4">
        <v>26817</v>
      </c>
      <c r="G110" s="1" t="s">
        <v>24</v>
      </c>
      <c r="H110" s="1" t="s">
        <v>53</v>
      </c>
      <c r="I110" s="1" t="s">
        <v>26</v>
      </c>
      <c r="J110" s="1" t="s">
        <v>27</v>
      </c>
      <c r="K110" s="4" t="s">
        <v>28</v>
      </c>
      <c r="L110" s="1" t="s">
        <v>80</v>
      </c>
      <c r="M110" s="1" t="s">
        <v>298</v>
      </c>
      <c r="N110" s="1" t="s">
        <v>82</v>
      </c>
      <c r="O110" s="1" t="s">
        <v>57</v>
      </c>
      <c r="P110" s="1" t="s">
        <v>49</v>
      </c>
      <c r="Q110" s="2" t="s">
        <v>58</v>
      </c>
      <c r="R110" s="2" t="s">
        <v>77</v>
      </c>
      <c r="S110" s="2">
        <f t="shared" si="2"/>
        <v>2010</v>
      </c>
      <c r="T110" s="2" t="str">
        <f t="shared" si="3"/>
        <v>Dec</v>
      </c>
    </row>
    <row r="111" spans="1:20" x14ac:dyDescent="0.3">
      <c r="A111" s="1" t="s">
        <v>299</v>
      </c>
      <c r="B111" s="1" t="s">
        <v>79</v>
      </c>
      <c r="C111" s="1" t="s">
        <v>22</v>
      </c>
      <c r="D111" s="4">
        <v>40525</v>
      </c>
      <c r="E111" s="1" t="s">
        <v>241</v>
      </c>
      <c r="F111" s="4">
        <v>29907</v>
      </c>
      <c r="G111" s="1" t="s">
        <v>24</v>
      </c>
      <c r="H111" s="1" t="s">
        <v>87</v>
      </c>
      <c r="I111" s="1" t="s">
        <v>26</v>
      </c>
      <c r="J111" s="1" t="s">
        <v>27</v>
      </c>
      <c r="K111" s="4" t="s">
        <v>28</v>
      </c>
      <c r="L111" s="1" t="s">
        <v>54</v>
      </c>
      <c r="M111" s="1" t="s">
        <v>300</v>
      </c>
      <c r="N111" s="1" t="s">
        <v>82</v>
      </c>
      <c r="O111" s="1" t="s">
        <v>89</v>
      </c>
      <c r="P111" s="1" t="s">
        <v>49</v>
      </c>
      <c r="Q111" s="2" t="s">
        <v>61</v>
      </c>
      <c r="R111" s="2" t="s">
        <v>77</v>
      </c>
      <c r="S111" s="2">
        <f t="shared" si="2"/>
        <v>2010</v>
      </c>
      <c r="T111" s="2" t="str">
        <f t="shared" si="3"/>
        <v>Dec</v>
      </c>
    </row>
    <row r="112" spans="1:20" x14ac:dyDescent="0.3">
      <c r="A112" s="1" t="s">
        <v>301</v>
      </c>
      <c r="B112" s="1" t="s">
        <v>79</v>
      </c>
      <c r="C112" s="1" t="s">
        <v>22</v>
      </c>
      <c r="D112" s="4">
        <v>33901</v>
      </c>
      <c r="E112" s="1" t="s">
        <v>244</v>
      </c>
      <c r="F112" s="4">
        <v>24473</v>
      </c>
      <c r="G112" s="1" t="s">
        <v>24</v>
      </c>
      <c r="H112" s="1" t="s">
        <v>126</v>
      </c>
      <c r="I112" s="1" t="s">
        <v>26</v>
      </c>
      <c r="J112" s="1" t="s">
        <v>27</v>
      </c>
      <c r="K112" s="4" t="s">
        <v>28</v>
      </c>
      <c r="L112" s="1" t="s">
        <v>80</v>
      </c>
      <c r="M112" s="1" t="s">
        <v>302</v>
      </c>
      <c r="N112" s="1" t="s">
        <v>82</v>
      </c>
      <c r="O112" s="1" t="s">
        <v>57</v>
      </c>
      <c r="P112" s="1" t="s">
        <v>49</v>
      </c>
      <c r="Q112" s="2" t="s">
        <v>96</v>
      </c>
      <c r="R112" s="2" t="s">
        <v>34</v>
      </c>
      <c r="S112" s="2">
        <f t="shared" si="2"/>
        <v>1992</v>
      </c>
      <c r="T112" s="2" t="str">
        <f t="shared" si="3"/>
        <v>Oct</v>
      </c>
    </row>
    <row r="113" spans="1:20" x14ac:dyDescent="0.3">
      <c r="A113" s="1" t="s">
        <v>303</v>
      </c>
      <c r="B113" s="1" t="s">
        <v>79</v>
      </c>
      <c r="C113" s="1" t="s">
        <v>22</v>
      </c>
      <c r="D113" s="4">
        <v>40840</v>
      </c>
      <c r="E113" s="1" t="s">
        <v>249</v>
      </c>
      <c r="F113" s="4">
        <v>29999</v>
      </c>
      <c r="G113" s="1" t="s">
        <v>24</v>
      </c>
      <c r="H113" s="1" t="s">
        <v>53</v>
      </c>
      <c r="I113" s="1" t="s">
        <v>26</v>
      </c>
      <c r="J113" s="1" t="s">
        <v>27</v>
      </c>
      <c r="K113" s="4" t="s">
        <v>28</v>
      </c>
      <c r="L113" s="1" t="s">
        <v>80</v>
      </c>
      <c r="M113" s="1" t="s">
        <v>304</v>
      </c>
      <c r="N113" s="1" t="s">
        <v>82</v>
      </c>
      <c r="O113" s="1" t="s">
        <v>57</v>
      </c>
      <c r="P113" s="1" t="s">
        <v>49</v>
      </c>
      <c r="Q113" s="2" t="s">
        <v>61</v>
      </c>
      <c r="R113" s="2" t="s">
        <v>77</v>
      </c>
      <c r="S113" s="2">
        <f t="shared" si="2"/>
        <v>2011</v>
      </c>
      <c r="T113" s="2" t="str">
        <f t="shared" si="3"/>
        <v>Oct</v>
      </c>
    </row>
    <row r="114" spans="1:20" x14ac:dyDescent="0.3">
      <c r="A114" s="1" t="s">
        <v>305</v>
      </c>
      <c r="B114" s="1" t="s">
        <v>79</v>
      </c>
      <c r="C114" s="1" t="s">
        <v>22</v>
      </c>
      <c r="D114" s="4">
        <v>40937</v>
      </c>
      <c r="E114" s="1" t="s">
        <v>241</v>
      </c>
      <c r="F114" s="4">
        <v>28756</v>
      </c>
      <c r="G114" s="1" t="s">
        <v>24</v>
      </c>
      <c r="H114" s="1" t="s">
        <v>53</v>
      </c>
      <c r="I114" s="1" t="s">
        <v>26</v>
      </c>
      <c r="J114" s="1" t="s">
        <v>27</v>
      </c>
      <c r="K114" s="4" t="s">
        <v>28</v>
      </c>
      <c r="L114" s="1" t="s">
        <v>54</v>
      </c>
      <c r="M114" s="1" t="s">
        <v>306</v>
      </c>
      <c r="N114" s="1" t="s">
        <v>82</v>
      </c>
      <c r="O114" s="1" t="s">
        <v>57</v>
      </c>
      <c r="P114" s="1" t="s">
        <v>49</v>
      </c>
      <c r="Q114" s="2" t="s">
        <v>50</v>
      </c>
      <c r="R114" s="2" t="s">
        <v>77</v>
      </c>
      <c r="S114" s="2">
        <f t="shared" si="2"/>
        <v>2012</v>
      </c>
      <c r="T114" s="2" t="str">
        <f t="shared" si="3"/>
        <v>Jan</v>
      </c>
    </row>
    <row r="115" spans="1:20" x14ac:dyDescent="0.3">
      <c r="A115" s="1" t="s">
        <v>307</v>
      </c>
      <c r="B115" s="1" t="s">
        <v>79</v>
      </c>
      <c r="C115" s="1" t="s">
        <v>22</v>
      </c>
      <c r="D115" s="4">
        <v>41034</v>
      </c>
      <c r="E115" s="1" t="s">
        <v>241</v>
      </c>
      <c r="F115" s="4">
        <v>28612</v>
      </c>
      <c r="G115" s="1" t="s">
        <v>24</v>
      </c>
      <c r="H115" s="1" t="s">
        <v>53</v>
      </c>
      <c r="I115" s="1" t="s">
        <v>26</v>
      </c>
      <c r="J115" s="1" t="s">
        <v>27</v>
      </c>
      <c r="K115" s="4" t="s">
        <v>28</v>
      </c>
      <c r="L115" s="1" t="s">
        <v>54</v>
      </c>
      <c r="M115" s="1" t="s">
        <v>308</v>
      </c>
      <c r="N115" s="1" t="s">
        <v>82</v>
      </c>
      <c r="O115" s="1" t="s">
        <v>57</v>
      </c>
      <c r="P115" s="1" t="s">
        <v>49</v>
      </c>
      <c r="Q115" s="2" t="s">
        <v>50</v>
      </c>
      <c r="R115" s="2" t="s">
        <v>83</v>
      </c>
      <c r="S115" s="2">
        <f t="shared" si="2"/>
        <v>2012</v>
      </c>
      <c r="T115" s="2" t="str">
        <f t="shared" si="3"/>
        <v>May</v>
      </c>
    </row>
    <row r="116" spans="1:20" x14ac:dyDescent="0.3">
      <c r="A116" s="1" t="s">
        <v>309</v>
      </c>
      <c r="B116" s="1" t="s">
        <v>79</v>
      </c>
      <c r="C116" s="1" t="s">
        <v>22</v>
      </c>
      <c r="D116" s="4">
        <v>41080</v>
      </c>
      <c r="E116" s="1" t="s">
        <v>287</v>
      </c>
      <c r="F116" s="4">
        <v>25934</v>
      </c>
      <c r="G116" s="1" t="s">
        <v>24</v>
      </c>
      <c r="H116" s="1" t="s">
        <v>53</v>
      </c>
      <c r="I116" s="1" t="s">
        <v>26</v>
      </c>
      <c r="J116" s="1" t="s">
        <v>27</v>
      </c>
      <c r="K116" s="4" t="s">
        <v>28</v>
      </c>
      <c r="L116" s="1" t="s">
        <v>80</v>
      </c>
      <c r="M116" s="1" t="s">
        <v>310</v>
      </c>
      <c r="N116" s="1" t="s">
        <v>82</v>
      </c>
      <c r="O116" s="1" t="s">
        <v>57</v>
      </c>
      <c r="P116" s="1" t="s">
        <v>49</v>
      </c>
      <c r="Q116" s="2" t="s">
        <v>96</v>
      </c>
      <c r="R116" s="2" t="s">
        <v>83</v>
      </c>
      <c r="S116" s="2">
        <f t="shared" si="2"/>
        <v>2012</v>
      </c>
      <c r="T116" s="2" t="str">
        <f t="shared" si="3"/>
        <v>Jun</v>
      </c>
    </row>
    <row r="117" spans="1:20" x14ac:dyDescent="0.3">
      <c r="A117" s="1" t="s">
        <v>311</v>
      </c>
      <c r="B117" s="1" t="s">
        <v>158</v>
      </c>
      <c r="C117" s="1" t="s">
        <v>22</v>
      </c>
      <c r="D117" s="4">
        <v>41149</v>
      </c>
      <c r="E117" s="1" t="s">
        <v>241</v>
      </c>
      <c r="F117" s="4">
        <v>30809</v>
      </c>
      <c r="G117" s="1" t="s">
        <v>216</v>
      </c>
      <c r="H117" s="1" t="s">
        <v>159</v>
      </c>
      <c r="I117" s="1" t="s">
        <v>26</v>
      </c>
      <c r="J117" s="1" t="s">
        <v>27</v>
      </c>
      <c r="K117" s="4" t="s">
        <v>28</v>
      </c>
      <c r="L117" s="1" t="s">
        <v>38</v>
      </c>
      <c r="M117" s="1" t="s">
        <v>312</v>
      </c>
      <c r="N117" s="1" t="s">
        <v>161</v>
      </c>
      <c r="O117" s="1" t="s">
        <v>162</v>
      </c>
      <c r="P117" s="1" t="s">
        <v>49</v>
      </c>
      <c r="Q117" s="2" t="s">
        <v>61</v>
      </c>
      <c r="R117" s="2" t="s">
        <v>83</v>
      </c>
      <c r="S117" s="2">
        <f t="shared" si="2"/>
        <v>2012</v>
      </c>
      <c r="T117" s="2" t="str">
        <f t="shared" si="3"/>
        <v>Aug</v>
      </c>
    </row>
    <row r="118" spans="1:20" x14ac:dyDescent="0.3">
      <c r="A118" s="1" t="s">
        <v>313</v>
      </c>
      <c r="B118" s="1" t="s">
        <v>79</v>
      </c>
      <c r="C118" s="1" t="s">
        <v>22</v>
      </c>
      <c r="D118" s="4">
        <v>41214</v>
      </c>
      <c r="E118" s="1" t="s">
        <v>244</v>
      </c>
      <c r="F118" s="4">
        <v>29070</v>
      </c>
      <c r="G118" s="1" t="s">
        <v>24</v>
      </c>
      <c r="H118" s="1" t="s">
        <v>53</v>
      </c>
      <c r="I118" s="1" t="s">
        <v>26</v>
      </c>
      <c r="J118" s="1" t="s">
        <v>27</v>
      </c>
      <c r="K118" s="4" t="s">
        <v>28</v>
      </c>
      <c r="L118" s="1" t="s">
        <v>80</v>
      </c>
      <c r="M118" s="1" t="s">
        <v>314</v>
      </c>
      <c r="N118" s="1" t="s">
        <v>82</v>
      </c>
      <c r="O118" s="1" t="s">
        <v>57</v>
      </c>
      <c r="P118" s="1" t="s">
        <v>49</v>
      </c>
      <c r="Q118" s="2" t="s">
        <v>50</v>
      </c>
      <c r="R118" s="2" t="s">
        <v>83</v>
      </c>
      <c r="S118" s="2">
        <f t="shared" si="2"/>
        <v>2012</v>
      </c>
      <c r="T118" s="2" t="str">
        <f t="shared" si="3"/>
        <v>Nov</v>
      </c>
    </row>
    <row r="119" spans="1:20" x14ac:dyDescent="0.3">
      <c r="A119" s="1" t="s">
        <v>315</v>
      </c>
      <c r="B119" s="1" t="s">
        <v>79</v>
      </c>
      <c r="C119" s="1" t="s">
        <v>22</v>
      </c>
      <c r="D119" s="4">
        <v>42533</v>
      </c>
      <c r="E119" s="1" t="s">
        <v>244</v>
      </c>
      <c r="F119" s="4">
        <v>33701</v>
      </c>
      <c r="G119" s="1" t="s">
        <v>216</v>
      </c>
      <c r="H119" s="1" t="s">
        <v>53</v>
      </c>
      <c r="I119" s="1" t="s">
        <v>26</v>
      </c>
      <c r="J119" s="1" t="s">
        <v>27</v>
      </c>
      <c r="K119" s="4" t="s">
        <v>28</v>
      </c>
      <c r="L119" s="1" t="s">
        <v>80</v>
      </c>
      <c r="M119" s="1" t="s">
        <v>316</v>
      </c>
      <c r="N119" s="1" t="s">
        <v>82</v>
      </c>
      <c r="O119" s="1" t="s">
        <v>57</v>
      </c>
      <c r="P119" s="1" t="s">
        <v>49</v>
      </c>
      <c r="Q119" s="2" t="s">
        <v>68</v>
      </c>
      <c r="R119" s="2" t="s">
        <v>169</v>
      </c>
      <c r="S119" s="2">
        <f t="shared" si="2"/>
        <v>2016</v>
      </c>
      <c r="T119" s="2" t="str">
        <f t="shared" si="3"/>
        <v>Jun</v>
      </c>
    </row>
    <row r="120" spans="1:20" x14ac:dyDescent="0.3">
      <c r="A120" s="1" t="s">
        <v>317</v>
      </c>
      <c r="B120" s="1" t="s">
        <v>79</v>
      </c>
      <c r="C120" s="1" t="s">
        <v>22</v>
      </c>
      <c r="D120" s="4">
        <v>41214</v>
      </c>
      <c r="E120" s="1" t="s">
        <v>244</v>
      </c>
      <c r="F120" s="4">
        <v>31048</v>
      </c>
      <c r="G120" s="1" t="s">
        <v>24</v>
      </c>
      <c r="H120" s="1" t="s">
        <v>53</v>
      </c>
      <c r="I120" s="1" t="s">
        <v>26</v>
      </c>
      <c r="J120" s="1" t="s">
        <v>27</v>
      </c>
      <c r="K120" s="4" t="s">
        <v>28</v>
      </c>
      <c r="L120" s="1" t="s">
        <v>80</v>
      </c>
      <c r="M120" s="1" t="s">
        <v>318</v>
      </c>
      <c r="N120" s="1" t="s">
        <v>82</v>
      </c>
      <c r="O120" s="1" t="s">
        <v>57</v>
      </c>
      <c r="P120" s="1" t="s">
        <v>49</v>
      </c>
      <c r="Q120" s="2" t="s">
        <v>61</v>
      </c>
      <c r="R120" s="2" t="s">
        <v>83</v>
      </c>
      <c r="S120" s="2">
        <f t="shared" si="2"/>
        <v>2012</v>
      </c>
      <c r="T120" s="2" t="str">
        <f t="shared" si="3"/>
        <v>Nov</v>
      </c>
    </row>
    <row r="121" spans="1:20" x14ac:dyDescent="0.3">
      <c r="A121" s="1" t="s">
        <v>319</v>
      </c>
      <c r="B121" s="1" t="s">
        <v>158</v>
      </c>
      <c r="C121" s="1" t="s">
        <v>206</v>
      </c>
      <c r="D121" s="4">
        <v>41407</v>
      </c>
      <c r="E121" s="1" t="s">
        <v>320</v>
      </c>
      <c r="F121" s="4">
        <v>31194</v>
      </c>
      <c r="G121" s="1" t="s">
        <v>24</v>
      </c>
      <c r="H121" s="1" t="s">
        <v>159</v>
      </c>
      <c r="I121" s="1" t="s">
        <v>26</v>
      </c>
      <c r="J121" s="1" t="s">
        <v>27</v>
      </c>
      <c r="K121" s="4" t="s">
        <v>28</v>
      </c>
      <c r="L121" s="1" t="s">
        <v>38</v>
      </c>
      <c r="M121" s="1" t="s">
        <v>321</v>
      </c>
      <c r="N121" s="1" t="s">
        <v>161</v>
      </c>
      <c r="O121" s="1" t="s">
        <v>162</v>
      </c>
      <c r="P121" s="1" t="s">
        <v>49</v>
      </c>
      <c r="Q121" s="2" t="s">
        <v>61</v>
      </c>
      <c r="R121" s="2" t="s">
        <v>83</v>
      </c>
      <c r="S121" s="2">
        <f t="shared" si="2"/>
        <v>2013</v>
      </c>
      <c r="T121" s="2" t="str">
        <f t="shared" si="3"/>
        <v>May</v>
      </c>
    </row>
    <row r="122" spans="1:20" x14ac:dyDescent="0.3">
      <c r="A122" s="1" t="s">
        <v>322</v>
      </c>
      <c r="B122" s="1" t="s">
        <v>201</v>
      </c>
      <c r="C122" s="1" t="s">
        <v>22</v>
      </c>
      <c r="D122" s="4">
        <v>41426</v>
      </c>
      <c r="E122" s="1" t="s">
        <v>241</v>
      </c>
      <c r="F122" s="4">
        <v>31666</v>
      </c>
      <c r="G122" s="1" t="s">
        <v>216</v>
      </c>
      <c r="H122" s="1" t="s">
        <v>87</v>
      </c>
      <c r="I122" s="1" t="s">
        <v>26</v>
      </c>
      <c r="J122" s="1" t="s">
        <v>27</v>
      </c>
      <c r="K122" s="4" t="s">
        <v>28</v>
      </c>
      <c r="L122" s="1" t="s">
        <v>38</v>
      </c>
      <c r="M122" s="1" t="s">
        <v>323</v>
      </c>
      <c r="N122" s="1" t="s">
        <v>203</v>
      </c>
      <c r="O122" s="1" t="s">
        <v>89</v>
      </c>
      <c r="P122" s="1" t="s">
        <v>49</v>
      </c>
      <c r="Q122" s="2" t="s">
        <v>68</v>
      </c>
      <c r="R122" s="2" t="s">
        <v>83</v>
      </c>
      <c r="S122" s="2">
        <f t="shared" si="2"/>
        <v>2013</v>
      </c>
      <c r="T122" s="2" t="str">
        <f t="shared" si="3"/>
        <v>Jun</v>
      </c>
    </row>
    <row r="123" spans="1:20" x14ac:dyDescent="0.3">
      <c r="A123" s="1" t="s">
        <v>324</v>
      </c>
      <c r="B123" s="1" t="s">
        <v>35</v>
      </c>
      <c r="C123" s="1" t="s">
        <v>22</v>
      </c>
      <c r="D123" s="4">
        <v>41570</v>
      </c>
      <c r="E123" s="1" t="s">
        <v>241</v>
      </c>
      <c r="F123" s="4">
        <v>22863</v>
      </c>
      <c r="G123" s="1" t="s">
        <v>24</v>
      </c>
      <c r="H123" s="1" t="s">
        <v>65</v>
      </c>
      <c r="I123" s="1" t="s">
        <v>26</v>
      </c>
      <c r="J123" s="1" t="s">
        <v>27</v>
      </c>
      <c r="K123" s="4" t="s">
        <v>28</v>
      </c>
      <c r="L123" s="1" t="s">
        <v>29</v>
      </c>
      <c r="M123" s="1" t="s">
        <v>325</v>
      </c>
      <c r="N123" s="1" t="s">
        <v>39</v>
      </c>
      <c r="O123" s="1" t="s">
        <v>67</v>
      </c>
      <c r="P123" s="1" t="s">
        <v>49</v>
      </c>
      <c r="Q123" s="2" t="s">
        <v>33</v>
      </c>
      <c r="R123" s="2" t="s">
        <v>83</v>
      </c>
      <c r="S123" s="2">
        <f t="shared" si="2"/>
        <v>2013</v>
      </c>
      <c r="T123" s="2" t="str">
        <f t="shared" si="3"/>
        <v>Oct</v>
      </c>
    </row>
    <row r="124" spans="1:20" x14ac:dyDescent="0.3">
      <c r="A124" s="1" t="s">
        <v>326</v>
      </c>
      <c r="B124" s="1" t="s">
        <v>158</v>
      </c>
      <c r="C124" s="1" t="s">
        <v>22</v>
      </c>
      <c r="D124" s="4">
        <v>41578</v>
      </c>
      <c r="E124" s="1" t="s">
        <v>241</v>
      </c>
      <c r="F124" s="4">
        <v>26216</v>
      </c>
      <c r="G124" s="1" t="s">
        <v>216</v>
      </c>
      <c r="H124" s="1" t="s">
        <v>159</v>
      </c>
      <c r="I124" s="1" t="s">
        <v>26</v>
      </c>
      <c r="J124" s="1" t="s">
        <v>27</v>
      </c>
      <c r="K124" s="4" t="s">
        <v>28</v>
      </c>
      <c r="L124" s="1" t="s">
        <v>38</v>
      </c>
      <c r="M124" s="1" t="s">
        <v>327</v>
      </c>
      <c r="N124" s="1" t="s">
        <v>161</v>
      </c>
      <c r="O124" s="1" t="s">
        <v>162</v>
      </c>
      <c r="P124" s="1" t="s">
        <v>49</v>
      </c>
      <c r="Q124" s="2" t="s">
        <v>58</v>
      </c>
      <c r="R124" s="2" t="s">
        <v>83</v>
      </c>
      <c r="S124" s="2">
        <f t="shared" si="2"/>
        <v>2013</v>
      </c>
      <c r="T124" s="2" t="str">
        <f t="shared" si="3"/>
        <v>Oct</v>
      </c>
    </row>
    <row r="125" spans="1:20" x14ac:dyDescent="0.3">
      <c r="A125" s="1" t="s">
        <v>328</v>
      </c>
      <c r="B125" s="1" t="s">
        <v>20</v>
      </c>
      <c r="C125" s="1" t="s">
        <v>206</v>
      </c>
      <c r="D125" s="4">
        <v>41601</v>
      </c>
      <c r="E125" s="1" t="s">
        <v>289</v>
      </c>
      <c r="F125" s="4">
        <v>32562</v>
      </c>
      <c r="G125" s="1" t="s">
        <v>216</v>
      </c>
      <c r="H125" s="1" t="s">
        <v>65</v>
      </c>
      <c r="I125" s="1" t="s">
        <v>26</v>
      </c>
      <c r="J125" s="1" t="s">
        <v>27</v>
      </c>
      <c r="K125" s="4" t="s">
        <v>28</v>
      </c>
      <c r="L125" s="1" t="s">
        <v>38</v>
      </c>
      <c r="M125" s="1" t="s">
        <v>329</v>
      </c>
      <c r="N125" s="1" t="s">
        <v>30</v>
      </c>
      <c r="O125" s="1" t="s">
        <v>67</v>
      </c>
      <c r="P125" s="1" t="s">
        <v>49</v>
      </c>
      <c r="Q125" s="2" t="s">
        <v>68</v>
      </c>
      <c r="R125" s="2" t="s">
        <v>83</v>
      </c>
      <c r="S125" s="2">
        <f t="shared" si="2"/>
        <v>2013</v>
      </c>
      <c r="T125" s="2" t="str">
        <f t="shared" si="3"/>
        <v>Nov</v>
      </c>
    </row>
    <row r="126" spans="1:20" x14ac:dyDescent="0.3">
      <c r="A126" s="1" t="s">
        <v>330</v>
      </c>
      <c r="B126" s="1" t="s">
        <v>79</v>
      </c>
      <c r="C126" s="1" t="s">
        <v>22</v>
      </c>
      <c r="D126" s="4">
        <v>41660</v>
      </c>
      <c r="E126" s="1" t="s">
        <v>244</v>
      </c>
      <c r="F126" s="4">
        <v>29252</v>
      </c>
      <c r="G126" s="1" t="s">
        <v>24</v>
      </c>
      <c r="H126" s="1" t="s">
        <v>126</v>
      </c>
      <c r="I126" s="1" t="s">
        <v>26</v>
      </c>
      <c r="J126" s="1" t="s">
        <v>27</v>
      </c>
      <c r="K126" s="4" t="s">
        <v>28</v>
      </c>
      <c r="L126" s="1" t="s">
        <v>80</v>
      </c>
      <c r="M126" s="1" t="s">
        <v>331</v>
      </c>
      <c r="N126" s="1" t="s">
        <v>82</v>
      </c>
      <c r="O126" s="1" t="s">
        <v>57</v>
      </c>
      <c r="P126" s="1" t="s">
        <v>49</v>
      </c>
      <c r="Q126" s="2" t="s">
        <v>50</v>
      </c>
      <c r="R126" s="2" t="s">
        <v>83</v>
      </c>
      <c r="S126" s="2">
        <f t="shared" si="2"/>
        <v>2014</v>
      </c>
      <c r="T126" s="2" t="str">
        <f t="shared" si="3"/>
        <v>Jan</v>
      </c>
    </row>
    <row r="127" spans="1:20" x14ac:dyDescent="0.3">
      <c r="A127" s="1" t="s">
        <v>332</v>
      </c>
      <c r="B127" s="1" t="s">
        <v>158</v>
      </c>
      <c r="C127" s="1" t="s">
        <v>206</v>
      </c>
      <c r="D127" s="4">
        <v>42267</v>
      </c>
      <c r="E127" s="1" t="s">
        <v>294</v>
      </c>
      <c r="F127" s="4">
        <v>30191</v>
      </c>
      <c r="G127" s="1" t="s">
        <v>216</v>
      </c>
      <c r="H127" s="1" t="s">
        <v>159</v>
      </c>
      <c r="I127" s="1" t="s">
        <v>26</v>
      </c>
      <c r="J127" s="1" t="s">
        <v>27</v>
      </c>
      <c r="K127" s="4" t="s">
        <v>28</v>
      </c>
      <c r="L127" s="1" t="s">
        <v>38</v>
      </c>
      <c r="M127" s="1" t="s">
        <v>333</v>
      </c>
      <c r="N127" s="1" t="s">
        <v>161</v>
      </c>
      <c r="O127" s="1" t="s">
        <v>162</v>
      </c>
      <c r="P127" s="1" t="s">
        <v>49</v>
      </c>
      <c r="Q127" s="2" t="s">
        <v>61</v>
      </c>
      <c r="R127" s="2" t="s">
        <v>42</v>
      </c>
      <c r="S127" s="2">
        <f t="shared" si="2"/>
        <v>2015</v>
      </c>
      <c r="T127" s="2" t="str">
        <f t="shared" si="3"/>
        <v>Sep</v>
      </c>
    </row>
    <row r="128" spans="1:20" x14ac:dyDescent="0.3">
      <c r="A128" s="1" t="s">
        <v>334</v>
      </c>
      <c r="B128" s="1" t="s">
        <v>137</v>
      </c>
      <c r="C128" s="1" t="s">
        <v>22</v>
      </c>
      <c r="D128" s="4">
        <v>42137</v>
      </c>
      <c r="E128" s="1" t="s">
        <v>320</v>
      </c>
      <c r="F128" s="4">
        <v>30785</v>
      </c>
      <c r="G128" s="1" t="s">
        <v>216</v>
      </c>
      <c r="H128" s="1" t="s">
        <v>159</v>
      </c>
      <c r="I128" s="1" t="s">
        <v>26</v>
      </c>
      <c r="J128" s="1" t="s">
        <v>27</v>
      </c>
      <c r="K128" s="4" t="s">
        <v>28</v>
      </c>
      <c r="L128" s="1" t="s">
        <v>38</v>
      </c>
      <c r="M128" s="1" t="s">
        <v>335</v>
      </c>
      <c r="N128" s="1" t="s">
        <v>139</v>
      </c>
      <c r="O128" s="1" t="s">
        <v>162</v>
      </c>
      <c r="P128" s="1" t="s">
        <v>49</v>
      </c>
      <c r="Q128" s="2" t="s">
        <v>61</v>
      </c>
      <c r="R128" s="2" t="s">
        <v>42</v>
      </c>
      <c r="S128" s="2">
        <f t="shared" si="2"/>
        <v>2015</v>
      </c>
      <c r="T128" s="2" t="str">
        <f t="shared" si="3"/>
        <v>May</v>
      </c>
    </row>
    <row r="129" spans="1:20" x14ac:dyDescent="0.3">
      <c r="A129" s="1" t="s">
        <v>336</v>
      </c>
      <c r="B129" s="1" t="s">
        <v>158</v>
      </c>
      <c r="C129" s="1" t="s">
        <v>206</v>
      </c>
      <c r="D129" s="4">
        <v>42261</v>
      </c>
      <c r="E129" s="1" t="s">
        <v>337</v>
      </c>
      <c r="F129" s="4">
        <v>35075</v>
      </c>
      <c r="G129" s="1" t="s">
        <v>216</v>
      </c>
      <c r="H129" s="1" t="s">
        <v>159</v>
      </c>
      <c r="I129" s="1" t="s">
        <v>26</v>
      </c>
      <c r="J129" s="1" t="s">
        <v>27</v>
      </c>
      <c r="K129" s="4" t="s">
        <v>28</v>
      </c>
      <c r="L129" s="1" t="s">
        <v>38</v>
      </c>
      <c r="M129" s="1" t="s">
        <v>338</v>
      </c>
      <c r="N129" s="1" t="s">
        <v>161</v>
      </c>
      <c r="O129" s="1" t="s">
        <v>162</v>
      </c>
      <c r="P129" s="1" t="s">
        <v>49</v>
      </c>
      <c r="Q129" s="2" t="s">
        <v>283</v>
      </c>
      <c r="R129" s="2" t="s">
        <v>42</v>
      </c>
      <c r="S129" s="2">
        <f t="shared" si="2"/>
        <v>2015</v>
      </c>
      <c r="T129" s="2" t="str">
        <f t="shared" si="3"/>
        <v>Sep</v>
      </c>
    </row>
    <row r="130" spans="1:20" x14ac:dyDescent="0.3">
      <c r="A130" s="1" t="s">
        <v>339</v>
      </c>
      <c r="B130" s="1" t="s">
        <v>158</v>
      </c>
      <c r="C130" s="1" t="s">
        <v>206</v>
      </c>
      <c r="D130" s="4">
        <v>42261</v>
      </c>
      <c r="E130" s="1" t="s">
        <v>337</v>
      </c>
      <c r="F130" s="4">
        <v>35021</v>
      </c>
      <c r="G130" s="1" t="s">
        <v>216</v>
      </c>
      <c r="H130" s="1" t="s">
        <v>159</v>
      </c>
      <c r="I130" s="1" t="s">
        <v>26</v>
      </c>
      <c r="J130" s="1" t="s">
        <v>27</v>
      </c>
      <c r="K130" s="4" t="s">
        <v>28</v>
      </c>
      <c r="L130" s="1" t="s">
        <v>38</v>
      </c>
      <c r="M130" s="1" t="s">
        <v>340</v>
      </c>
      <c r="N130" s="1" t="s">
        <v>161</v>
      </c>
      <c r="O130" s="1" t="s">
        <v>162</v>
      </c>
      <c r="P130" s="1" t="s">
        <v>49</v>
      </c>
      <c r="Q130" s="2" t="s">
        <v>283</v>
      </c>
      <c r="R130" s="2" t="s">
        <v>42</v>
      </c>
      <c r="S130" s="2">
        <f t="shared" ref="S130:S167" si="4">YEAR(D130)</f>
        <v>2015</v>
      </c>
      <c r="T130" s="2" t="str">
        <f t="shared" ref="T130:T167" si="5">TEXT(D130,"MMM")</f>
        <v>Sep</v>
      </c>
    </row>
    <row r="131" spans="1:20" x14ac:dyDescent="0.3">
      <c r="A131" s="1" t="s">
        <v>341</v>
      </c>
      <c r="B131" s="1" t="s">
        <v>158</v>
      </c>
      <c r="C131" s="1" t="s">
        <v>22</v>
      </c>
      <c r="D131" s="4">
        <v>42234</v>
      </c>
      <c r="E131" s="1" t="s">
        <v>241</v>
      </c>
      <c r="F131" s="4">
        <v>30831</v>
      </c>
      <c r="G131" s="1" t="s">
        <v>216</v>
      </c>
      <c r="H131" s="1" t="s">
        <v>159</v>
      </c>
      <c r="I131" s="1" t="s">
        <v>26</v>
      </c>
      <c r="J131" s="1" t="s">
        <v>27</v>
      </c>
      <c r="K131" s="4" t="s">
        <v>28</v>
      </c>
      <c r="L131" s="1" t="s">
        <v>38</v>
      </c>
      <c r="M131" s="1" t="s">
        <v>342</v>
      </c>
      <c r="N131" s="1" t="s">
        <v>161</v>
      </c>
      <c r="O131" s="1" t="s">
        <v>162</v>
      </c>
      <c r="P131" s="1" t="s">
        <v>49</v>
      </c>
      <c r="Q131" s="2" t="s">
        <v>61</v>
      </c>
      <c r="R131" s="2" t="s">
        <v>42</v>
      </c>
      <c r="S131" s="2">
        <f t="shared" si="4"/>
        <v>2015</v>
      </c>
      <c r="T131" s="2" t="str">
        <f t="shared" si="5"/>
        <v>Aug</v>
      </c>
    </row>
    <row r="132" spans="1:20" x14ac:dyDescent="0.3">
      <c r="A132" s="1" t="s">
        <v>151</v>
      </c>
      <c r="B132" s="1" t="s">
        <v>20</v>
      </c>
      <c r="C132" s="1" t="s">
        <v>22</v>
      </c>
      <c r="D132" s="4">
        <v>42616</v>
      </c>
      <c r="E132" s="1" t="s">
        <v>287</v>
      </c>
      <c r="F132" s="4">
        <v>26601</v>
      </c>
      <c r="G132" s="1" t="s">
        <v>24</v>
      </c>
      <c r="H132" s="1" t="s">
        <v>103</v>
      </c>
      <c r="I132" s="1" t="s">
        <v>26</v>
      </c>
      <c r="J132" s="1" t="s">
        <v>27</v>
      </c>
      <c r="K132" s="4" t="s">
        <v>28</v>
      </c>
      <c r="L132" s="1" t="s">
        <v>38</v>
      </c>
      <c r="M132" s="1" t="s">
        <v>154</v>
      </c>
      <c r="N132" s="1" t="s">
        <v>30</v>
      </c>
      <c r="O132" s="1" t="s">
        <v>104</v>
      </c>
      <c r="P132" s="1" t="s">
        <v>32</v>
      </c>
      <c r="Q132" s="2" t="s">
        <v>58</v>
      </c>
      <c r="R132" s="2" t="s">
        <v>169</v>
      </c>
      <c r="S132" s="2">
        <f t="shared" si="4"/>
        <v>2016</v>
      </c>
      <c r="T132" s="2" t="str">
        <f t="shared" si="5"/>
        <v>Sep</v>
      </c>
    </row>
    <row r="133" spans="1:20" x14ac:dyDescent="0.3">
      <c r="A133" s="1" t="s">
        <v>343</v>
      </c>
      <c r="B133" s="1" t="s">
        <v>28</v>
      </c>
      <c r="C133" s="1" t="s">
        <v>22</v>
      </c>
      <c r="D133" s="4">
        <v>42704</v>
      </c>
      <c r="E133" s="1" t="s">
        <v>344</v>
      </c>
      <c r="F133" s="4">
        <v>31460</v>
      </c>
      <c r="G133" s="1" t="s">
        <v>216</v>
      </c>
      <c r="H133" s="1" t="s">
        <v>159</v>
      </c>
      <c r="I133" s="1" t="s">
        <v>26</v>
      </c>
      <c r="J133" s="1" t="s">
        <v>345</v>
      </c>
      <c r="K133" s="4" t="s">
        <v>28</v>
      </c>
      <c r="L133" s="1" t="s">
        <v>38</v>
      </c>
      <c r="M133" s="1" t="s">
        <v>346</v>
      </c>
      <c r="N133" s="1" t="s">
        <v>56</v>
      </c>
      <c r="O133" s="1" t="s">
        <v>162</v>
      </c>
      <c r="P133" s="1" t="s">
        <v>49</v>
      </c>
      <c r="Q133" s="2" t="s">
        <v>61</v>
      </c>
      <c r="R133" s="2" t="s">
        <v>169</v>
      </c>
      <c r="S133" s="2">
        <f t="shared" si="4"/>
        <v>2016</v>
      </c>
      <c r="T133" s="2" t="str">
        <f t="shared" si="5"/>
        <v>Nov</v>
      </c>
    </row>
    <row r="134" spans="1:20" x14ac:dyDescent="0.3">
      <c r="A134" s="1" t="s">
        <v>347</v>
      </c>
      <c r="B134" s="1" t="s">
        <v>28</v>
      </c>
      <c r="C134" s="1" t="s">
        <v>22</v>
      </c>
      <c r="D134" s="4">
        <v>42704</v>
      </c>
      <c r="E134" s="1" t="s">
        <v>23</v>
      </c>
      <c r="F134" s="4">
        <v>33182</v>
      </c>
      <c r="G134" s="1" t="s">
        <v>216</v>
      </c>
      <c r="H134" s="1" t="s">
        <v>159</v>
      </c>
      <c r="I134" s="1" t="s">
        <v>26</v>
      </c>
      <c r="J134" s="1" t="s">
        <v>345</v>
      </c>
      <c r="K134" s="4" t="s">
        <v>28</v>
      </c>
      <c r="L134" s="1" t="s">
        <v>38</v>
      </c>
      <c r="M134" s="1" t="s">
        <v>348</v>
      </c>
      <c r="N134" s="1" t="s">
        <v>56</v>
      </c>
      <c r="O134" s="1" t="s">
        <v>162</v>
      </c>
      <c r="P134" s="1" t="s">
        <v>49</v>
      </c>
      <c r="Q134" s="2" t="s">
        <v>68</v>
      </c>
      <c r="R134" s="2" t="s">
        <v>169</v>
      </c>
      <c r="S134" s="2">
        <f t="shared" si="4"/>
        <v>2016</v>
      </c>
      <c r="T134" s="2" t="str">
        <f t="shared" si="5"/>
        <v>Nov</v>
      </c>
    </row>
    <row r="135" spans="1:20" x14ac:dyDescent="0.3">
      <c r="A135" s="1" t="s">
        <v>349</v>
      </c>
      <c r="B135" s="1" t="s">
        <v>28</v>
      </c>
      <c r="C135" s="1" t="s">
        <v>206</v>
      </c>
      <c r="D135" s="4">
        <v>42716</v>
      </c>
      <c r="E135" s="1" t="s">
        <v>23</v>
      </c>
      <c r="F135" s="4">
        <v>32007</v>
      </c>
      <c r="G135" s="1" t="s">
        <v>24</v>
      </c>
      <c r="H135" s="1" t="s">
        <v>159</v>
      </c>
      <c r="I135" s="1" t="s">
        <v>26</v>
      </c>
      <c r="J135" s="1" t="s">
        <v>345</v>
      </c>
      <c r="K135" s="4" t="s">
        <v>28</v>
      </c>
      <c r="L135" s="1" t="s">
        <v>38</v>
      </c>
      <c r="M135" s="1" t="s">
        <v>350</v>
      </c>
      <c r="N135" s="1" t="s">
        <v>56</v>
      </c>
      <c r="O135" s="1" t="s">
        <v>162</v>
      </c>
      <c r="P135" s="1" t="s">
        <v>49</v>
      </c>
      <c r="Q135" s="2" t="s">
        <v>68</v>
      </c>
      <c r="R135" s="2" t="s">
        <v>169</v>
      </c>
      <c r="S135" s="2">
        <f t="shared" si="4"/>
        <v>2016</v>
      </c>
      <c r="T135" s="2" t="str">
        <f t="shared" si="5"/>
        <v>Dec</v>
      </c>
    </row>
    <row r="136" spans="1:20" x14ac:dyDescent="0.3">
      <c r="A136" s="1" t="s">
        <v>351</v>
      </c>
      <c r="B136" s="1" t="s">
        <v>44</v>
      </c>
      <c r="C136" s="1" t="s">
        <v>22</v>
      </c>
      <c r="D136" s="4">
        <v>42294</v>
      </c>
      <c r="E136" s="1" t="s">
        <v>23</v>
      </c>
      <c r="F136" s="4">
        <v>32640</v>
      </c>
      <c r="G136" s="1" t="s">
        <v>216</v>
      </c>
      <c r="H136" s="1" t="s">
        <v>65</v>
      </c>
      <c r="I136" s="1" t="s">
        <v>26</v>
      </c>
      <c r="J136" s="1" t="s">
        <v>345</v>
      </c>
      <c r="K136" s="4" t="s">
        <v>28</v>
      </c>
      <c r="L136" s="1" t="s">
        <v>38</v>
      </c>
      <c r="M136" s="1" t="s">
        <v>352</v>
      </c>
      <c r="N136" s="1" t="s">
        <v>47</v>
      </c>
      <c r="O136" s="1" t="s">
        <v>67</v>
      </c>
      <c r="P136" s="1" t="s">
        <v>49</v>
      </c>
      <c r="Q136" s="2" t="s">
        <v>68</v>
      </c>
      <c r="R136" s="2" t="s">
        <v>42</v>
      </c>
      <c r="S136" s="2">
        <f t="shared" si="4"/>
        <v>2015</v>
      </c>
      <c r="T136" s="2" t="str">
        <f t="shared" si="5"/>
        <v>Oct</v>
      </c>
    </row>
    <row r="137" spans="1:20" hidden="1" x14ac:dyDescent="0.3">
      <c r="A137" s="1" t="s">
        <v>353</v>
      </c>
      <c r="B137" s="1" t="s">
        <v>52</v>
      </c>
      <c r="C137" s="1" t="s">
        <v>22</v>
      </c>
      <c r="D137" s="4">
        <v>42301</v>
      </c>
      <c r="E137" s="1" t="s">
        <v>241</v>
      </c>
      <c r="F137" s="4">
        <v>21253</v>
      </c>
      <c r="G137" s="1" t="s">
        <v>24</v>
      </c>
      <c r="H137" s="1" t="s">
        <v>53</v>
      </c>
      <c r="I137" s="1" t="s">
        <v>354</v>
      </c>
      <c r="J137" s="1" t="s">
        <v>355</v>
      </c>
      <c r="K137" s="5">
        <v>42794</v>
      </c>
      <c r="L137" s="1" t="s">
        <v>54</v>
      </c>
      <c r="M137" s="1" t="s">
        <v>356</v>
      </c>
      <c r="N137" s="1" t="s">
        <v>56</v>
      </c>
      <c r="O137" s="1" t="s">
        <v>57</v>
      </c>
      <c r="P137" s="1" t="s">
        <v>49</v>
      </c>
      <c r="Q137" s="2" t="s">
        <v>33</v>
      </c>
      <c r="R137" s="2" t="s">
        <v>42</v>
      </c>
      <c r="S137" s="2">
        <f t="shared" si="4"/>
        <v>2015</v>
      </c>
      <c r="T137" s="2" t="str">
        <f t="shared" si="5"/>
        <v>Oct</v>
      </c>
    </row>
    <row r="138" spans="1:20" x14ac:dyDescent="0.3">
      <c r="A138" s="1" t="s">
        <v>357</v>
      </c>
      <c r="B138" s="1" t="s">
        <v>52</v>
      </c>
      <c r="C138" s="1" t="s">
        <v>22</v>
      </c>
      <c r="D138" s="4">
        <v>42346</v>
      </c>
      <c r="E138" s="1" t="s">
        <v>244</v>
      </c>
      <c r="F138" s="4">
        <v>32329</v>
      </c>
      <c r="G138" s="1" t="s">
        <v>24</v>
      </c>
      <c r="H138" s="1" t="s">
        <v>53</v>
      </c>
      <c r="I138" s="1" t="s">
        <v>26</v>
      </c>
      <c r="J138" s="1" t="s">
        <v>345</v>
      </c>
      <c r="K138" s="4" t="s">
        <v>28</v>
      </c>
      <c r="L138" s="1" t="s">
        <v>54</v>
      </c>
      <c r="M138" s="1" t="s">
        <v>358</v>
      </c>
      <c r="N138" s="1" t="s">
        <v>56</v>
      </c>
      <c r="O138" s="1" t="s">
        <v>57</v>
      </c>
      <c r="P138" s="1" t="s">
        <v>49</v>
      </c>
      <c r="Q138" s="2" t="s">
        <v>68</v>
      </c>
      <c r="R138" s="2" t="s">
        <v>42</v>
      </c>
      <c r="S138" s="2">
        <f t="shared" si="4"/>
        <v>2015</v>
      </c>
      <c r="T138" s="2" t="str">
        <f t="shared" si="5"/>
        <v>Dec</v>
      </c>
    </row>
    <row r="139" spans="1:20" x14ac:dyDescent="0.3">
      <c r="A139" s="1" t="s">
        <v>359</v>
      </c>
      <c r="B139" s="1" t="s">
        <v>52</v>
      </c>
      <c r="C139" s="1" t="s">
        <v>22</v>
      </c>
      <c r="D139" s="4">
        <v>42393</v>
      </c>
      <c r="E139" s="1" t="s">
        <v>23</v>
      </c>
      <c r="F139" s="4">
        <v>27906</v>
      </c>
      <c r="G139" s="1" t="s">
        <v>24</v>
      </c>
      <c r="H139" s="1" t="s">
        <v>53</v>
      </c>
      <c r="I139" s="1" t="s">
        <v>26</v>
      </c>
      <c r="J139" s="1" t="s">
        <v>345</v>
      </c>
      <c r="K139" s="4" t="s">
        <v>28</v>
      </c>
      <c r="L139" s="1" t="s">
        <v>54</v>
      </c>
      <c r="M139" s="1" t="s">
        <v>360</v>
      </c>
      <c r="N139" s="1" t="s">
        <v>56</v>
      </c>
      <c r="O139" s="1" t="s">
        <v>57</v>
      </c>
      <c r="P139" s="1" t="s">
        <v>49</v>
      </c>
      <c r="Q139" s="2" t="s">
        <v>50</v>
      </c>
      <c r="R139" s="2" t="s">
        <v>42</v>
      </c>
      <c r="S139" s="2">
        <f t="shared" si="4"/>
        <v>2016</v>
      </c>
      <c r="T139" s="2" t="str">
        <f t="shared" si="5"/>
        <v>Jan</v>
      </c>
    </row>
    <row r="140" spans="1:20" x14ac:dyDescent="0.3">
      <c r="A140" s="1" t="s">
        <v>361</v>
      </c>
      <c r="B140" s="1" t="s">
        <v>52</v>
      </c>
      <c r="C140" s="1" t="s">
        <v>22</v>
      </c>
      <c r="D140" s="4">
        <v>42390</v>
      </c>
      <c r="E140" s="1" t="s">
        <v>23</v>
      </c>
      <c r="F140" s="4">
        <v>27541</v>
      </c>
      <c r="G140" s="1" t="s">
        <v>24</v>
      </c>
      <c r="H140" s="1" t="s">
        <v>53</v>
      </c>
      <c r="I140" s="1" t="s">
        <v>26</v>
      </c>
      <c r="J140" s="1" t="s">
        <v>345</v>
      </c>
      <c r="K140" s="4" t="s">
        <v>28</v>
      </c>
      <c r="L140" s="1" t="s">
        <v>54</v>
      </c>
      <c r="M140" s="1" t="s">
        <v>362</v>
      </c>
      <c r="N140" s="1" t="s">
        <v>56</v>
      </c>
      <c r="O140" s="1" t="s">
        <v>57</v>
      </c>
      <c r="P140" s="1" t="s">
        <v>49</v>
      </c>
      <c r="Q140" s="2" t="s">
        <v>58</v>
      </c>
      <c r="R140" s="2" t="s">
        <v>42</v>
      </c>
      <c r="S140" s="2">
        <f t="shared" si="4"/>
        <v>2016</v>
      </c>
      <c r="T140" s="2" t="str">
        <f t="shared" si="5"/>
        <v>Jan</v>
      </c>
    </row>
    <row r="141" spans="1:20" x14ac:dyDescent="0.3">
      <c r="A141" s="1" t="s">
        <v>363</v>
      </c>
      <c r="B141" s="1" t="s">
        <v>52</v>
      </c>
      <c r="C141" s="1" t="s">
        <v>22</v>
      </c>
      <c r="D141" s="4">
        <v>42368</v>
      </c>
      <c r="E141" s="1" t="s">
        <v>23</v>
      </c>
      <c r="F141" s="4">
        <v>26313</v>
      </c>
      <c r="G141" s="1" t="s">
        <v>24</v>
      </c>
      <c r="H141" s="1" t="s">
        <v>53</v>
      </c>
      <c r="I141" s="1" t="s">
        <v>26</v>
      </c>
      <c r="J141" s="1" t="s">
        <v>345</v>
      </c>
      <c r="K141" s="4" t="s">
        <v>28</v>
      </c>
      <c r="L141" s="1" t="s">
        <v>54</v>
      </c>
      <c r="M141" s="1" t="s">
        <v>364</v>
      </c>
      <c r="N141" s="1" t="s">
        <v>56</v>
      </c>
      <c r="O141" s="1" t="s">
        <v>57</v>
      </c>
      <c r="P141" s="1" t="s">
        <v>49</v>
      </c>
      <c r="Q141" s="2" t="s">
        <v>58</v>
      </c>
      <c r="R141" s="2" t="s">
        <v>42</v>
      </c>
      <c r="S141" s="2">
        <f t="shared" si="4"/>
        <v>2015</v>
      </c>
      <c r="T141" s="2" t="str">
        <f t="shared" si="5"/>
        <v>Dec</v>
      </c>
    </row>
    <row r="142" spans="1:20" x14ac:dyDescent="0.3">
      <c r="A142" s="1" t="s">
        <v>365</v>
      </c>
      <c r="B142" s="1" t="s">
        <v>52</v>
      </c>
      <c r="C142" s="1" t="s">
        <v>22</v>
      </c>
      <c r="D142" s="4">
        <v>42382</v>
      </c>
      <c r="E142" s="1" t="s">
        <v>23</v>
      </c>
      <c r="F142" s="4">
        <v>28274</v>
      </c>
      <c r="G142" s="1" t="s">
        <v>24</v>
      </c>
      <c r="H142" s="1" t="s">
        <v>53</v>
      </c>
      <c r="I142" s="1" t="s">
        <v>26</v>
      </c>
      <c r="J142" s="1" t="s">
        <v>345</v>
      </c>
      <c r="K142" s="4" t="s">
        <v>28</v>
      </c>
      <c r="L142" s="1" t="s">
        <v>54</v>
      </c>
      <c r="M142" s="1" t="s">
        <v>366</v>
      </c>
      <c r="N142" s="1" t="s">
        <v>56</v>
      </c>
      <c r="O142" s="1" t="s">
        <v>57</v>
      </c>
      <c r="P142" s="1" t="s">
        <v>49</v>
      </c>
      <c r="Q142" s="2" t="s">
        <v>50</v>
      </c>
      <c r="R142" s="2" t="s">
        <v>42</v>
      </c>
      <c r="S142" s="2">
        <f t="shared" si="4"/>
        <v>2016</v>
      </c>
      <c r="T142" s="2" t="str">
        <f t="shared" si="5"/>
        <v>Jan</v>
      </c>
    </row>
    <row r="143" spans="1:20" x14ac:dyDescent="0.3">
      <c r="A143" s="1" t="s">
        <v>367</v>
      </c>
      <c r="B143" s="1" t="s">
        <v>52</v>
      </c>
      <c r="C143" s="1" t="s">
        <v>22</v>
      </c>
      <c r="D143" s="4">
        <v>42382</v>
      </c>
      <c r="E143" s="1" t="s">
        <v>23</v>
      </c>
      <c r="F143" s="4">
        <v>26439</v>
      </c>
      <c r="G143" s="1" t="s">
        <v>24</v>
      </c>
      <c r="H143" s="1" t="s">
        <v>53</v>
      </c>
      <c r="I143" s="1" t="s">
        <v>26</v>
      </c>
      <c r="J143" s="1" t="s">
        <v>345</v>
      </c>
      <c r="K143" s="4" t="s">
        <v>28</v>
      </c>
      <c r="L143" s="1" t="s">
        <v>54</v>
      </c>
      <c r="M143" s="1" t="s">
        <v>368</v>
      </c>
      <c r="N143" s="1" t="s">
        <v>56</v>
      </c>
      <c r="O143" s="1" t="s">
        <v>57</v>
      </c>
      <c r="P143" s="1" t="s">
        <v>49</v>
      </c>
      <c r="Q143" s="2" t="s">
        <v>58</v>
      </c>
      <c r="R143" s="2" t="s">
        <v>42</v>
      </c>
      <c r="S143" s="2">
        <f t="shared" si="4"/>
        <v>2016</v>
      </c>
      <c r="T143" s="2" t="str">
        <f t="shared" si="5"/>
        <v>Jan</v>
      </c>
    </row>
    <row r="144" spans="1:20" x14ac:dyDescent="0.3">
      <c r="A144" s="1" t="s">
        <v>369</v>
      </c>
      <c r="B144" s="1" t="s">
        <v>52</v>
      </c>
      <c r="C144" s="1" t="s">
        <v>22</v>
      </c>
      <c r="D144" s="4">
        <v>42382</v>
      </c>
      <c r="E144" s="1" t="s">
        <v>23</v>
      </c>
      <c r="F144" s="4">
        <v>30457</v>
      </c>
      <c r="G144" s="1" t="s">
        <v>24</v>
      </c>
      <c r="H144" s="1" t="s">
        <v>53</v>
      </c>
      <c r="I144" s="1" t="s">
        <v>26</v>
      </c>
      <c r="J144" s="1" t="s">
        <v>345</v>
      </c>
      <c r="K144" s="4" t="s">
        <v>28</v>
      </c>
      <c r="L144" s="1" t="s">
        <v>54</v>
      </c>
      <c r="M144" s="1" t="s">
        <v>370</v>
      </c>
      <c r="N144" s="1" t="s">
        <v>56</v>
      </c>
      <c r="O144" s="1" t="s">
        <v>57</v>
      </c>
      <c r="P144" s="1" t="s">
        <v>49</v>
      </c>
      <c r="Q144" s="2" t="s">
        <v>61</v>
      </c>
      <c r="R144" s="2" t="s">
        <v>42</v>
      </c>
      <c r="S144" s="2">
        <f t="shared" si="4"/>
        <v>2016</v>
      </c>
      <c r="T144" s="2" t="str">
        <f t="shared" si="5"/>
        <v>Jan</v>
      </c>
    </row>
    <row r="145" spans="1:20" x14ac:dyDescent="0.3">
      <c r="A145" s="1" t="s">
        <v>371</v>
      </c>
      <c r="B145" s="1" t="s">
        <v>52</v>
      </c>
      <c r="C145" s="1" t="s">
        <v>22</v>
      </c>
      <c r="D145" s="4">
        <v>42385</v>
      </c>
      <c r="E145" s="1" t="s">
        <v>23</v>
      </c>
      <c r="F145" s="4">
        <v>25665</v>
      </c>
      <c r="G145" s="1" t="s">
        <v>24</v>
      </c>
      <c r="H145" s="1" t="s">
        <v>53</v>
      </c>
      <c r="I145" s="1" t="s">
        <v>26</v>
      </c>
      <c r="J145" s="1" t="s">
        <v>345</v>
      </c>
      <c r="K145" s="4" t="s">
        <v>28</v>
      </c>
      <c r="L145" s="1" t="s">
        <v>54</v>
      </c>
      <c r="M145" s="1" t="s">
        <v>372</v>
      </c>
      <c r="N145" s="1" t="s">
        <v>56</v>
      </c>
      <c r="O145" s="1" t="s">
        <v>57</v>
      </c>
      <c r="P145" s="1" t="s">
        <v>49</v>
      </c>
      <c r="Q145" s="2" t="s">
        <v>96</v>
      </c>
      <c r="R145" s="2" t="s">
        <v>42</v>
      </c>
      <c r="S145" s="2">
        <f t="shared" si="4"/>
        <v>2016</v>
      </c>
      <c r="T145" s="2" t="str">
        <f t="shared" si="5"/>
        <v>Jan</v>
      </c>
    </row>
    <row r="146" spans="1:20" x14ac:dyDescent="0.3">
      <c r="A146" s="1" t="s">
        <v>373</v>
      </c>
      <c r="B146" s="1" t="s">
        <v>52</v>
      </c>
      <c r="C146" s="1" t="s">
        <v>22</v>
      </c>
      <c r="D146" s="4">
        <v>42389</v>
      </c>
      <c r="E146" s="1" t="s">
        <v>23</v>
      </c>
      <c r="F146" s="4">
        <v>23522</v>
      </c>
      <c r="G146" s="1" t="s">
        <v>24</v>
      </c>
      <c r="H146" s="1" t="s">
        <v>53</v>
      </c>
      <c r="I146" s="1" t="s">
        <v>26</v>
      </c>
      <c r="J146" s="1" t="s">
        <v>345</v>
      </c>
      <c r="K146" s="4" t="s">
        <v>28</v>
      </c>
      <c r="L146" s="1" t="s">
        <v>54</v>
      </c>
      <c r="M146" s="1" t="s">
        <v>374</v>
      </c>
      <c r="N146" s="1" t="s">
        <v>56</v>
      </c>
      <c r="O146" s="1" t="s">
        <v>57</v>
      </c>
      <c r="P146" s="1" t="s">
        <v>49</v>
      </c>
      <c r="Q146" s="2" t="s">
        <v>33</v>
      </c>
      <c r="R146" s="2" t="s">
        <v>42</v>
      </c>
      <c r="S146" s="2">
        <f t="shared" si="4"/>
        <v>2016</v>
      </c>
      <c r="T146" s="2" t="str">
        <f t="shared" si="5"/>
        <v>Jan</v>
      </c>
    </row>
    <row r="147" spans="1:20" x14ac:dyDescent="0.3">
      <c r="A147" s="1" t="s">
        <v>375</v>
      </c>
      <c r="B147" s="1" t="s">
        <v>52</v>
      </c>
      <c r="C147" s="1" t="s">
        <v>22</v>
      </c>
      <c r="D147" s="4">
        <v>42411</v>
      </c>
      <c r="E147" s="1" t="s">
        <v>23</v>
      </c>
      <c r="F147" s="4">
        <v>26083</v>
      </c>
      <c r="G147" s="1" t="s">
        <v>24</v>
      </c>
      <c r="H147" s="1" t="s">
        <v>53</v>
      </c>
      <c r="I147" s="1" t="s">
        <v>26</v>
      </c>
      <c r="J147" s="1" t="s">
        <v>345</v>
      </c>
      <c r="K147" s="4" t="s">
        <v>28</v>
      </c>
      <c r="L147" s="1" t="s">
        <v>54</v>
      </c>
      <c r="M147" s="1" t="s">
        <v>376</v>
      </c>
      <c r="N147" s="1" t="s">
        <v>56</v>
      </c>
      <c r="O147" s="1" t="s">
        <v>57</v>
      </c>
      <c r="P147" s="1" t="s">
        <v>49</v>
      </c>
      <c r="Q147" s="2" t="s">
        <v>58</v>
      </c>
      <c r="R147" s="2" t="s">
        <v>42</v>
      </c>
      <c r="S147" s="2">
        <f t="shared" si="4"/>
        <v>2016</v>
      </c>
      <c r="T147" s="2" t="str">
        <f t="shared" si="5"/>
        <v>Feb</v>
      </c>
    </row>
    <row r="148" spans="1:20" x14ac:dyDescent="0.3">
      <c r="A148" s="1" t="s">
        <v>377</v>
      </c>
      <c r="B148" s="1" t="s">
        <v>52</v>
      </c>
      <c r="C148" s="1" t="s">
        <v>22</v>
      </c>
      <c r="D148" s="4">
        <v>42411</v>
      </c>
      <c r="E148" s="1" t="s">
        <v>23</v>
      </c>
      <c r="F148" s="4">
        <v>31941</v>
      </c>
      <c r="G148" s="1" t="s">
        <v>216</v>
      </c>
      <c r="H148" s="1" t="s">
        <v>87</v>
      </c>
      <c r="I148" s="1" t="s">
        <v>26</v>
      </c>
      <c r="J148" s="1" t="s">
        <v>345</v>
      </c>
      <c r="K148" s="4" t="s">
        <v>28</v>
      </c>
      <c r="L148" s="1" t="s">
        <v>54</v>
      </c>
      <c r="M148" s="1" t="s">
        <v>378</v>
      </c>
      <c r="N148" s="1" t="s">
        <v>56</v>
      </c>
      <c r="O148" s="1" t="s">
        <v>89</v>
      </c>
      <c r="P148" s="1" t="s">
        <v>49</v>
      </c>
      <c r="Q148" s="2" t="s">
        <v>68</v>
      </c>
      <c r="R148" s="2" t="s">
        <v>42</v>
      </c>
      <c r="S148" s="2">
        <f t="shared" si="4"/>
        <v>2016</v>
      </c>
      <c r="T148" s="2" t="str">
        <f t="shared" si="5"/>
        <v>Feb</v>
      </c>
    </row>
    <row r="149" spans="1:20" x14ac:dyDescent="0.3">
      <c r="A149" s="1" t="s">
        <v>379</v>
      </c>
      <c r="B149" s="1" t="s">
        <v>52</v>
      </c>
      <c r="C149" s="1" t="s">
        <v>22</v>
      </c>
      <c r="D149" s="4">
        <v>42810</v>
      </c>
      <c r="E149" s="1" t="s">
        <v>244</v>
      </c>
      <c r="F149" s="4">
        <v>34714</v>
      </c>
      <c r="G149" s="1" t="s">
        <v>24</v>
      </c>
      <c r="H149" s="1" t="s">
        <v>53</v>
      </c>
      <c r="I149" s="1" t="s">
        <v>26</v>
      </c>
      <c r="J149" s="1" t="s">
        <v>345</v>
      </c>
      <c r="K149" s="4" t="s">
        <v>28</v>
      </c>
      <c r="L149" s="1" t="s">
        <v>38</v>
      </c>
      <c r="M149" s="1" t="s">
        <v>380</v>
      </c>
      <c r="N149" s="1" t="s">
        <v>56</v>
      </c>
      <c r="O149" s="1" t="s">
        <v>89</v>
      </c>
      <c r="P149" s="1" t="s">
        <v>49</v>
      </c>
      <c r="Q149" s="2" t="s">
        <v>283</v>
      </c>
      <c r="R149" s="2" t="s">
        <v>169</v>
      </c>
      <c r="S149" s="2">
        <f t="shared" si="4"/>
        <v>2017</v>
      </c>
      <c r="T149" s="2" t="str">
        <f t="shared" si="5"/>
        <v>Mar</v>
      </c>
    </row>
    <row r="150" spans="1:20" x14ac:dyDescent="0.3">
      <c r="A150" s="1" t="s">
        <v>381</v>
      </c>
      <c r="B150" s="1" t="s">
        <v>119</v>
      </c>
      <c r="C150" s="1" t="s">
        <v>206</v>
      </c>
      <c r="D150" s="4">
        <v>42644</v>
      </c>
      <c r="E150" s="1" t="s">
        <v>382</v>
      </c>
      <c r="F150" s="4">
        <v>35139</v>
      </c>
      <c r="G150" s="1" t="s">
        <v>216</v>
      </c>
      <c r="H150" s="1" t="s">
        <v>65</v>
      </c>
      <c r="I150" s="1" t="s">
        <v>26</v>
      </c>
      <c r="J150" s="1" t="s">
        <v>345</v>
      </c>
      <c r="K150" s="4" t="s">
        <v>28</v>
      </c>
      <c r="L150" s="1" t="s">
        <v>38</v>
      </c>
      <c r="M150" s="1" t="s">
        <v>383</v>
      </c>
      <c r="N150" s="1" t="s">
        <v>120</v>
      </c>
      <c r="O150" s="1" t="s">
        <v>67</v>
      </c>
      <c r="P150" s="1" t="s">
        <v>49</v>
      </c>
      <c r="Q150" s="2" t="s">
        <v>283</v>
      </c>
      <c r="R150" s="2" t="s">
        <v>169</v>
      </c>
      <c r="S150" s="2">
        <f t="shared" si="4"/>
        <v>2016</v>
      </c>
      <c r="T150" s="2" t="str">
        <f t="shared" si="5"/>
        <v>Oct</v>
      </c>
    </row>
    <row r="151" spans="1:20" hidden="1" x14ac:dyDescent="0.3">
      <c r="A151" s="1" t="s">
        <v>384</v>
      </c>
      <c r="B151" s="1" t="s">
        <v>158</v>
      </c>
      <c r="C151" s="1" t="s">
        <v>22</v>
      </c>
      <c r="D151" s="4">
        <v>42301</v>
      </c>
      <c r="E151" s="1" t="s">
        <v>244</v>
      </c>
      <c r="F151" s="4">
        <v>21799</v>
      </c>
      <c r="G151" s="1" t="s">
        <v>24</v>
      </c>
      <c r="H151" s="1" t="s">
        <v>159</v>
      </c>
      <c r="I151" s="1" t="s">
        <v>354</v>
      </c>
      <c r="J151" s="1" t="s">
        <v>345</v>
      </c>
      <c r="K151" s="4" t="s">
        <v>28</v>
      </c>
      <c r="L151" s="1" t="s">
        <v>38</v>
      </c>
      <c r="M151" s="1" t="s">
        <v>385</v>
      </c>
      <c r="N151" s="1" t="s">
        <v>161</v>
      </c>
      <c r="O151" s="1" t="s">
        <v>162</v>
      </c>
      <c r="P151" s="1" t="s">
        <v>49</v>
      </c>
      <c r="Q151" s="2" t="s">
        <v>33</v>
      </c>
      <c r="R151" s="2" t="s">
        <v>42</v>
      </c>
      <c r="S151" s="2">
        <f t="shared" si="4"/>
        <v>2015</v>
      </c>
      <c r="T151" s="2" t="str">
        <f t="shared" si="5"/>
        <v>Oct</v>
      </c>
    </row>
    <row r="152" spans="1:20" hidden="1" x14ac:dyDescent="0.3">
      <c r="A152" s="1" t="s">
        <v>386</v>
      </c>
      <c r="B152" s="1" t="s">
        <v>35</v>
      </c>
      <c r="C152" s="1" t="s">
        <v>22</v>
      </c>
      <c r="D152" s="4">
        <v>42354</v>
      </c>
      <c r="E152" s="1" t="s">
        <v>23</v>
      </c>
      <c r="F152" s="4">
        <v>33352</v>
      </c>
      <c r="G152" s="1" t="s">
        <v>216</v>
      </c>
      <c r="H152" s="1" t="s">
        <v>87</v>
      </c>
      <c r="I152" s="1" t="s">
        <v>354</v>
      </c>
      <c r="J152" s="1" t="s">
        <v>355</v>
      </c>
      <c r="K152" s="5">
        <v>42794</v>
      </c>
      <c r="L152" s="1" t="s">
        <v>29</v>
      </c>
      <c r="M152" s="1" t="s">
        <v>387</v>
      </c>
      <c r="N152" s="1" t="s">
        <v>39</v>
      </c>
      <c r="O152" s="1" t="s">
        <v>89</v>
      </c>
      <c r="P152" s="1" t="s">
        <v>49</v>
      </c>
      <c r="Q152" s="2" t="s">
        <v>68</v>
      </c>
      <c r="R152" s="2" t="s">
        <v>42</v>
      </c>
      <c r="S152" s="2">
        <f t="shared" si="4"/>
        <v>2015</v>
      </c>
      <c r="T152" s="2" t="str">
        <f t="shared" si="5"/>
        <v>Dec</v>
      </c>
    </row>
    <row r="153" spans="1:20" x14ac:dyDescent="0.3">
      <c r="A153" s="1" t="s">
        <v>388</v>
      </c>
      <c r="B153" s="1" t="s">
        <v>35</v>
      </c>
      <c r="C153" s="1" t="s">
        <v>206</v>
      </c>
      <c r="D153" s="4">
        <v>42309</v>
      </c>
      <c r="E153" s="1" t="s">
        <v>389</v>
      </c>
      <c r="F153" s="4">
        <v>29085</v>
      </c>
      <c r="G153" s="1" t="s">
        <v>216</v>
      </c>
      <c r="H153" s="1" t="s">
        <v>87</v>
      </c>
      <c r="I153" s="1" t="s">
        <v>26</v>
      </c>
      <c r="J153" s="1" t="s">
        <v>345</v>
      </c>
      <c r="K153" s="4" t="s">
        <v>28</v>
      </c>
      <c r="L153" s="1" t="s">
        <v>29</v>
      </c>
      <c r="M153" s="1" t="s">
        <v>390</v>
      </c>
      <c r="N153" s="1" t="s">
        <v>39</v>
      </c>
      <c r="O153" s="1" t="s">
        <v>89</v>
      </c>
      <c r="P153" s="1" t="s">
        <v>49</v>
      </c>
      <c r="Q153" s="2" t="s">
        <v>50</v>
      </c>
      <c r="R153" s="2" t="s">
        <v>42</v>
      </c>
      <c r="S153" s="2">
        <f t="shared" si="4"/>
        <v>2015</v>
      </c>
      <c r="T153" s="2" t="str">
        <f t="shared" si="5"/>
        <v>Nov</v>
      </c>
    </row>
    <row r="154" spans="1:20" x14ac:dyDescent="0.3">
      <c r="A154" s="1" t="s">
        <v>391</v>
      </c>
      <c r="B154" s="1" t="s">
        <v>201</v>
      </c>
      <c r="C154" s="1" t="s">
        <v>206</v>
      </c>
      <c r="D154" s="4">
        <v>42339</v>
      </c>
      <c r="E154" s="1" t="s">
        <v>389</v>
      </c>
      <c r="F154" s="4">
        <v>29994</v>
      </c>
      <c r="G154" s="1" t="s">
        <v>216</v>
      </c>
      <c r="H154" s="1" t="s">
        <v>87</v>
      </c>
      <c r="I154" s="1" t="s">
        <v>26</v>
      </c>
      <c r="J154" s="1" t="s">
        <v>345</v>
      </c>
      <c r="K154" s="4" t="s">
        <v>28</v>
      </c>
      <c r="L154" s="1" t="s">
        <v>38</v>
      </c>
      <c r="M154" s="1" t="s">
        <v>392</v>
      </c>
      <c r="N154" s="1" t="s">
        <v>203</v>
      </c>
      <c r="O154" s="1" t="s">
        <v>89</v>
      </c>
      <c r="P154" s="1" t="s">
        <v>49</v>
      </c>
      <c r="Q154" s="2" t="s">
        <v>61</v>
      </c>
      <c r="R154" s="2" t="s">
        <v>42</v>
      </c>
      <c r="S154" s="2">
        <f t="shared" si="4"/>
        <v>2015</v>
      </c>
      <c r="T154" s="2" t="str">
        <f t="shared" si="5"/>
        <v>Dec</v>
      </c>
    </row>
    <row r="155" spans="1:20" hidden="1" x14ac:dyDescent="0.3">
      <c r="A155" s="1" t="s">
        <v>201</v>
      </c>
      <c r="B155" s="1" t="s">
        <v>20</v>
      </c>
      <c r="C155" s="1" t="s">
        <v>22</v>
      </c>
      <c r="D155" s="4">
        <v>42402</v>
      </c>
      <c r="E155" s="1" t="s">
        <v>23</v>
      </c>
      <c r="F155" s="4">
        <v>26801</v>
      </c>
      <c r="G155" s="1" t="s">
        <v>24</v>
      </c>
      <c r="H155" s="1" t="s">
        <v>37</v>
      </c>
      <c r="I155" s="1" t="s">
        <v>354</v>
      </c>
      <c r="J155" s="1" t="s">
        <v>355</v>
      </c>
      <c r="K155" s="5">
        <v>42794</v>
      </c>
      <c r="L155" s="1" t="s">
        <v>38</v>
      </c>
      <c r="M155" s="1" t="s">
        <v>203</v>
      </c>
      <c r="N155" s="1" t="s">
        <v>30</v>
      </c>
      <c r="O155" s="1" t="s">
        <v>41</v>
      </c>
      <c r="P155" s="1" t="s">
        <v>32</v>
      </c>
      <c r="Q155" s="2" t="s">
        <v>58</v>
      </c>
      <c r="R155" s="2" t="s">
        <v>42</v>
      </c>
      <c r="S155" s="2">
        <f t="shared" si="4"/>
        <v>2016</v>
      </c>
      <c r="T155" s="2" t="str">
        <f t="shared" si="5"/>
        <v>Feb</v>
      </c>
    </row>
    <row r="156" spans="1:20" hidden="1" x14ac:dyDescent="0.3">
      <c r="A156" s="1" t="s">
        <v>393</v>
      </c>
      <c r="B156" s="1" t="s">
        <v>20</v>
      </c>
      <c r="C156" s="1" t="s">
        <v>206</v>
      </c>
      <c r="D156" s="4">
        <v>42536</v>
      </c>
      <c r="E156" s="1" t="s">
        <v>394</v>
      </c>
      <c r="F156" s="4">
        <v>31057</v>
      </c>
      <c r="G156" s="1" t="s">
        <v>216</v>
      </c>
      <c r="H156" s="1" t="s">
        <v>65</v>
      </c>
      <c r="I156" s="1" t="s">
        <v>354</v>
      </c>
      <c r="J156" s="1" t="s">
        <v>395</v>
      </c>
      <c r="K156" s="5">
        <v>42674</v>
      </c>
      <c r="L156" s="1" t="s">
        <v>54</v>
      </c>
      <c r="M156" s="1" t="s">
        <v>396</v>
      </c>
      <c r="N156" s="1" t="s">
        <v>30</v>
      </c>
      <c r="O156" s="1" t="s">
        <v>67</v>
      </c>
      <c r="P156" s="1" t="s">
        <v>49</v>
      </c>
      <c r="Q156" s="2" t="s">
        <v>61</v>
      </c>
      <c r="R156" s="2" t="s">
        <v>169</v>
      </c>
      <c r="S156" s="2">
        <f t="shared" si="4"/>
        <v>2016</v>
      </c>
      <c r="T156" s="2" t="str">
        <f t="shared" si="5"/>
        <v>Jun</v>
      </c>
    </row>
    <row r="157" spans="1:20" x14ac:dyDescent="0.3">
      <c r="A157" s="1" t="s">
        <v>397</v>
      </c>
      <c r="B157" s="1" t="s">
        <v>20</v>
      </c>
      <c r="C157" s="1" t="s">
        <v>22</v>
      </c>
      <c r="D157" s="4">
        <v>42736</v>
      </c>
      <c r="E157" s="1" t="s">
        <v>23</v>
      </c>
      <c r="F157" s="4">
        <v>27816</v>
      </c>
      <c r="G157" s="1" t="s">
        <v>24</v>
      </c>
      <c r="H157" s="1" t="s">
        <v>37</v>
      </c>
      <c r="I157" s="1" t="s">
        <v>26</v>
      </c>
      <c r="J157" s="1" t="s">
        <v>345</v>
      </c>
      <c r="K157" s="4" t="s">
        <v>28</v>
      </c>
      <c r="L157" s="1" t="s">
        <v>38</v>
      </c>
      <c r="M157" s="1" t="s">
        <v>398</v>
      </c>
      <c r="N157" s="1" t="s">
        <v>30</v>
      </c>
      <c r="O157" s="1" t="s">
        <v>41</v>
      </c>
      <c r="P157" s="1" t="s">
        <v>32</v>
      </c>
      <c r="Q157" s="2" t="s">
        <v>58</v>
      </c>
      <c r="R157" s="2" t="s">
        <v>169</v>
      </c>
      <c r="S157" s="2">
        <f t="shared" si="4"/>
        <v>2017</v>
      </c>
      <c r="T157" s="2" t="str">
        <f t="shared" si="5"/>
        <v>Jan</v>
      </c>
    </row>
    <row r="158" spans="1:20" hidden="1" x14ac:dyDescent="0.3">
      <c r="A158" s="1" t="s">
        <v>399</v>
      </c>
      <c r="B158" s="1" t="s">
        <v>44</v>
      </c>
      <c r="C158" s="1" t="s">
        <v>22</v>
      </c>
      <c r="D158" s="4">
        <v>37871</v>
      </c>
      <c r="E158" s="1" t="s">
        <v>23</v>
      </c>
      <c r="F158" s="4">
        <v>29368</v>
      </c>
      <c r="G158" s="1" t="s">
        <v>24</v>
      </c>
      <c r="H158" s="1" t="s">
        <v>45</v>
      </c>
      <c r="I158" s="1" t="s">
        <v>354</v>
      </c>
      <c r="J158" s="1" t="s">
        <v>355</v>
      </c>
      <c r="K158" s="4">
        <v>42660</v>
      </c>
      <c r="L158" s="1" t="s">
        <v>38</v>
      </c>
      <c r="M158" s="1" t="s">
        <v>400</v>
      </c>
      <c r="N158" s="1" t="s">
        <v>47</v>
      </c>
      <c r="O158" s="1" t="s">
        <v>48</v>
      </c>
      <c r="P158" s="1" t="s">
        <v>49</v>
      </c>
      <c r="Q158" s="2" t="s">
        <v>50</v>
      </c>
      <c r="R158" s="2" t="s">
        <v>34</v>
      </c>
      <c r="S158" s="2">
        <f t="shared" si="4"/>
        <v>2003</v>
      </c>
      <c r="T158" s="2" t="str">
        <f t="shared" si="5"/>
        <v>Sep</v>
      </c>
    </row>
    <row r="159" spans="1:20" hidden="1" x14ac:dyDescent="0.3">
      <c r="A159" s="1" t="s">
        <v>401</v>
      </c>
      <c r="B159" s="1" t="s">
        <v>52</v>
      </c>
      <c r="C159" s="1" t="s">
        <v>22</v>
      </c>
      <c r="D159" s="4">
        <v>42259</v>
      </c>
      <c r="E159" s="1" t="s">
        <v>241</v>
      </c>
      <c r="F159" s="4">
        <v>26440</v>
      </c>
      <c r="G159" s="1" t="s">
        <v>24</v>
      </c>
      <c r="H159" s="1" t="s">
        <v>53</v>
      </c>
      <c r="I159" s="1" t="s">
        <v>354</v>
      </c>
      <c r="J159" s="1" t="s">
        <v>355</v>
      </c>
      <c r="K159" s="4">
        <v>42674</v>
      </c>
      <c r="L159" s="1" t="s">
        <v>54</v>
      </c>
      <c r="M159" s="1" t="s">
        <v>402</v>
      </c>
      <c r="N159" s="1" t="s">
        <v>56</v>
      </c>
      <c r="O159" s="1" t="s">
        <v>57</v>
      </c>
      <c r="P159" s="1" t="s">
        <v>49</v>
      </c>
      <c r="Q159" s="2" t="s">
        <v>58</v>
      </c>
      <c r="R159" s="2" t="s">
        <v>42</v>
      </c>
      <c r="S159" s="2">
        <f t="shared" si="4"/>
        <v>2015</v>
      </c>
      <c r="T159" s="2" t="str">
        <f t="shared" si="5"/>
        <v>Sep</v>
      </c>
    </row>
    <row r="160" spans="1:20" hidden="1" x14ac:dyDescent="0.3">
      <c r="A160" s="1" t="s">
        <v>403</v>
      </c>
      <c r="B160" s="1" t="s">
        <v>52</v>
      </c>
      <c r="C160" s="1" t="s">
        <v>22</v>
      </c>
      <c r="D160" s="4">
        <v>41613</v>
      </c>
      <c r="E160" s="1" t="s">
        <v>244</v>
      </c>
      <c r="F160" s="4">
        <v>32421</v>
      </c>
      <c r="G160" s="1" t="s">
        <v>24</v>
      </c>
      <c r="H160" s="1" t="s">
        <v>53</v>
      </c>
      <c r="I160" s="1" t="s">
        <v>354</v>
      </c>
      <c r="J160" s="1" t="s">
        <v>355</v>
      </c>
      <c r="K160" s="4">
        <v>42674</v>
      </c>
      <c r="L160" s="1" t="s">
        <v>54</v>
      </c>
      <c r="M160" s="1" t="s">
        <v>404</v>
      </c>
      <c r="N160" s="1" t="s">
        <v>56</v>
      </c>
      <c r="O160" s="1" t="s">
        <v>57</v>
      </c>
      <c r="P160" s="1" t="s">
        <v>49</v>
      </c>
      <c r="Q160" s="2" t="s">
        <v>68</v>
      </c>
      <c r="R160" s="2" t="s">
        <v>83</v>
      </c>
      <c r="S160" s="2">
        <f t="shared" si="4"/>
        <v>2013</v>
      </c>
      <c r="T160" s="2" t="str">
        <f t="shared" si="5"/>
        <v>Dec</v>
      </c>
    </row>
    <row r="161" spans="1:20" hidden="1" x14ac:dyDescent="0.3">
      <c r="A161" s="1" t="s">
        <v>405</v>
      </c>
      <c r="B161" s="1" t="s">
        <v>52</v>
      </c>
      <c r="C161" s="1" t="s">
        <v>22</v>
      </c>
      <c r="D161" s="4">
        <v>41934</v>
      </c>
      <c r="E161" s="1" t="s">
        <v>23</v>
      </c>
      <c r="F161" s="4">
        <v>30451</v>
      </c>
      <c r="G161" s="1" t="s">
        <v>24</v>
      </c>
      <c r="H161" s="1" t="s">
        <v>53</v>
      </c>
      <c r="I161" s="1" t="s">
        <v>354</v>
      </c>
      <c r="J161" s="1" t="s">
        <v>355</v>
      </c>
      <c r="K161" s="4">
        <v>42567</v>
      </c>
      <c r="L161" s="1" t="s">
        <v>54</v>
      </c>
      <c r="M161" s="1" t="s">
        <v>406</v>
      </c>
      <c r="N161" s="1" t="s">
        <v>56</v>
      </c>
      <c r="O161" s="1" t="s">
        <v>57</v>
      </c>
      <c r="P161" s="1" t="s">
        <v>49</v>
      </c>
      <c r="Q161" s="2" t="s">
        <v>61</v>
      </c>
      <c r="R161" s="2" t="s">
        <v>42</v>
      </c>
      <c r="S161" s="2">
        <f t="shared" si="4"/>
        <v>2014</v>
      </c>
      <c r="T161" s="2" t="str">
        <f t="shared" si="5"/>
        <v>Oct</v>
      </c>
    </row>
    <row r="162" spans="1:20" hidden="1" x14ac:dyDescent="0.3">
      <c r="A162" s="1" t="s">
        <v>407</v>
      </c>
      <c r="B162" s="1" t="s">
        <v>52</v>
      </c>
      <c r="C162" s="1" t="s">
        <v>22</v>
      </c>
      <c r="D162" s="4">
        <v>41934</v>
      </c>
      <c r="E162" s="1" t="s">
        <v>23</v>
      </c>
      <c r="F162" s="4">
        <v>29731</v>
      </c>
      <c r="G162" s="1" t="s">
        <v>24</v>
      </c>
      <c r="H162" s="1" t="s">
        <v>53</v>
      </c>
      <c r="I162" s="1" t="s">
        <v>354</v>
      </c>
      <c r="J162" s="1" t="s">
        <v>355</v>
      </c>
      <c r="K162" s="4">
        <v>42678</v>
      </c>
      <c r="L162" s="1" t="s">
        <v>54</v>
      </c>
      <c r="M162" s="1" t="s">
        <v>408</v>
      </c>
      <c r="N162" s="1" t="s">
        <v>56</v>
      </c>
      <c r="O162" s="1" t="s">
        <v>57</v>
      </c>
      <c r="P162" s="1" t="s">
        <v>49</v>
      </c>
      <c r="Q162" s="2" t="s">
        <v>61</v>
      </c>
      <c r="R162" s="2" t="s">
        <v>42</v>
      </c>
      <c r="S162" s="2">
        <f t="shared" si="4"/>
        <v>2014</v>
      </c>
      <c r="T162" s="2" t="str">
        <f t="shared" si="5"/>
        <v>Oct</v>
      </c>
    </row>
    <row r="163" spans="1:20" hidden="1" x14ac:dyDescent="0.3">
      <c r="A163" s="1" t="s">
        <v>409</v>
      </c>
      <c r="B163" s="1" t="s">
        <v>158</v>
      </c>
      <c r="C163" s="1" t="s">
        <v>206</v>
      </c>
      <c r="D163" s="4">
        <v>37414</v>
      </c>
      <c r="E163" s="1" t="s">
        <v>23</v>
      </c>
      <c r="F163" s="4">
        <v>26193</v>
      </c>
      <c r="G163" s="1" t="s">
        <v>410</v>
      </c>
      <c r="H163" s="1" t="s">
        <v>45</v>
      </c>
      <c r="I163" s="1" t="s">
        <v>354</v>
      </c>
      <c r="J163" s="1" t="s">
        <v>355</v>
      </c>
      <c r="K163" s="4">
        <v>42722</v>
      </c>
      <c r="L163" s="1" t="s">
        <v>38</v>
      </c>
      <c r="M163" s="1" t="s">
        <v>411</v>
      </c>
      <c r="N163" s="1" t="s">
        <v>161</v>
      </c>
      <c r="O163" s="1" t="s">
        <v>48</v>
      </c>
      <c r="P163" s="1" t="s">
        <v>49</v>
      </c>
      <c r="Q163" s="2" t="s">
        <v>58</v>
      </c>
      <c r="R163" s="2" t="s">
        <v>34</v>
      </c>
      <c r="S163" s="2">
        <f t="shared" si="4"/>
        <v>2002</v>
      </c>
      <c r="T163" s="2" t="str">
        <f t="shared" si="5"/>
        <v>Jun</v>
      </c>
    </row>
    <row r="164" spans="1:20" hidden="1" x14ac:dyDescent="0.3">
      <c r="A164" s="1" t="s">
        <v>412</v>
      </c>
      <c r="B164" s="1" t="s">
        <v>158</v>
      </c>
      <c r="C164" s="1" t="s">
        <v>22</v>
      </c>
      <c r="D164" s="4">
        <v>41193</v>
      </c>
      <c r="E164" s="1" t="s">
        <v>241</v>
      </c>
      <c r="F164" s="4">
        <v>23468</v>
      </c>
      <c r="G164" s="1" t="s">
        <v>24</v>
      </c>
      <c r="H164" s="1" t="s">
        <v>159</v>
      </c>
      <c r="I164" s="1" t="s">
        <v>354</v>
      </c>
      <c r="J164" s="1" t="s">
        <v>355</v>
      </c>
      <c r="K164" s="4">
        <v>42725</v>
      </c>
      <c r="L164" s="1" t="s">
        <v>38</v>
      </c>
      <c r="M164" s="1" t="s">
        <v>413</v>
      </c>
      <c r="N164" s="1" t="s">
        <v>161</v>
      </c>
      <c r="O164" s="1" t="s">
        <v>162</v>
      </c>
      <c r="P164" s="1" t="s">
        <v>49</v>
      </c>
      <c r="Q164" s="2" t="s">
        <v>33</v>
      </c>
      <c r="R164" s="2" t="s">
        <v>83</v>
      </c>
      <c r="S164" s="2">
        <f t="shared" si="4"/>
        <v>2012</v>
      </c>
      <c r="T164" s="2" t="str">
        <f t="shared" si="5"/>
        <v>Oct</v>
      </c>
    </row>
    <row r="165" spans="1:20" hidden="1" x14ac:dyDescent="0.3">
      <c r="A165" s="1" t="s">
        <v>414</v>
      </c>
      <c r="B165" s="1" t="s">
        <v>158</v>
      </c>
      <c r="C165" s="1" t="s">
        <v>22</v>
      </c>
      <c r="D165" s="4">
        <v>41160</v>
      </c>
      <c r="E165" s="1" t="s">
        <v>294</v>
      </c>
      <c r="F165" s="4">
        <v>21305</v>
      </c>
      <c r="G165" s="1" t="s">
        <v>24</v>
      </c>
      <c r="H165" s="1" t="s">
        <v>159</v>
      </c>
      <c r="I165" s="1" t="s">
        <v>354</v>
      </c>
      <c r="J165" s="1" t="s">
        <v>415</v>
      </c>
      <c r="K165" s="4">
        <v>42704</v>
      </c>
      <c r="L165" s="1" t="s">
        <v>38</v>
      </c>
      <c r="M165" s="1" t="s">
        <v>416</v>
      </c>
      <c r="N165" s="1" t="s">
        <v>161</v>
      </c>
      <c r="O165" s="1" t="s">
        <v>162</v>
      </c>
      <c r="P165" s="1" t="s">
        <v>49</v>
      </c>
      <c r="Q165" s="2" t="s">
        <v>33</v>
      </c>
      <c r="R165" s="2" t="s">
        <v>83</v>
      </c>
      <c r="S165" s="2">
        <f t="shared" si="4"/>
        <v>2012</v>
      </c>
      <c r="T165" s="2" t="str">
        <f t="shared" si="5"/>
        <v>Sep</v>
      </c>
    </row>
    <row r="166" spans="1:20" hidden="1" x14ac:dyDescent="0.3">
      <c r="A166" s="1" t="s">
        <v>417</v>
      </c>
      <c r="B166" s="1" t="s">
        <v>79</v>
      </c>
      <c r="C166" s="1" t="s">
        <v>22</v>
      </c>
      <c r="D166" s="4">
        <v>41897</v>
      </c>
      <c r="E166" s="1" t="s">
        <v>23</v>
      </c>
      <c r="F166" s="4">
        <v>25215</v>
      </c>
      <c r="G166" s="1" t="s">
        <v>24</v>
      </c>
      <c r="H166" s="1" t="s">
        <v>126</v>
      </c>
      <c r="I166" s="1" t="s">
        <v>354</v>
      </c>
      <c r="J166" s="1" t="s">
        <v>355</v>
      </c>
      <c r="K166" s="4">
        <v>42657</v>
      </c>
      <c r="L166" s="1" t="s">
        <v>54</v>
      </c>
      <c r="M166" s="1" t="s">
        <v>418</v>
      </c>
      <c r="N166" s="1" t="s">
        <v>82</v>
      </c>
      <c r="O166" s="1" t="s">
        <v>57</v>
      </c>
      <c r="P166" s="1" t="s">
        <v>49</v>
      </c>
      <c r="Q166" s="2" t="s">
        <v>96</v>
      </c>
      <c r="R166" s="2" t="s">
        <v>42</v>
      </c>
      <c r="S166" s="2">
        <f t="shared" si="4"/>
        <v>2014</v>
      </c>
      <c r="T166" s="2" t="str">
        <f t="shared" si="5"/>
        <v>Sep</v>
      </c>
    </row>
    <row r="167" spans="1:20" hidden="1" x14ac:dyDescent="0.3">
      <c r="A167" s="1" t="s">
        <v>419</v>
      </c>
      <c r="B167" s="1" t="s">
        <v>20</v>
      </c>
      <c r="C167" s="1" t="s">
        <v>22</v>
      </c>
      <c r="D167" s="4">
        <v>42380</v>
      </c>
      <c r="E167" s="1" t="s">
        <v>420</v>
      </c>
      <c r="F167" s="4">
        <v>21389</v>
      </c>
      <c r="G167" s="1" t="s">
        <v>24</v>
      </c>
      <c r="H167" s="1" t="s">
        <v>103</v>
      </c>
      <c r="I167" s="1" t="s">
        <v>354</v>
      </c>
      <c r="J167" s="1" t="s">
        <v>355</v>
      </c>
      <c r="K167" s="4">
        <v>42710</v>
      </c>
      <c r="L167" s="1" t="s">
        <v>38</v>
      </c>
      <c r="M167" s="1" t="s">
        <v>421</v>
      </c>
      <c r="N167" s="1" t="s">
        <v>30</v>
      </c>
      <c r="O167" s="1" t="s">
        <v>104</v>
      </c>
      <c r="P167" s="1" t="s">
        <v>32</v>
      </c>
      <c r="Q167" s="2" t="s">
        <v>33</v>
      </c>
      <c r="R167" s="2" t="s">
        <v>42</v>
      </c>
      <c r="S167" s="2">
        <f t="shared" si="4"/>
        <v>2016</v>
      </c>
      <c r="T167" s="2" t="str">
        <f t="shared" si="5"/>
        <v>Jan</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Tables</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Prashanth Reddy</dc:creator>
  <cp:lastModifiedBy>Prashanth Reddy</cp:lastModifiedBy>
  <dcterms:created xsi:type="dcterms:W3CDTF">2026-05-26T13:42:53Z</dcterms:created>
  <dcterms:modified xsi:type="dcterms:W3CDTF">2026-06-05T16:03:37Z</dcterms:modified>
</cp:coreProperties>
</file>